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Data Analyst Practice\"/>
    </mc:Choice>
  </mc:AlternateContent>
  <xr:revisionPtr revIDLastSave="0" documentId="13_ncr:1_{815B9F28-1F2A-494E-9FC8-46A4849957B4}" xr6:coauthVersionLast="47" xr6:coauthVersionMax="47" xr10:uidLastSave="{00000000-0000-0000-0000-000000000000}"/>
  <bookViews>
    <workbookView xWindow="-98" yWindow="-98" windowWidth="28996" windowHeight="15675" firstSheet="3" activeTab="5" xr2:uid="{A280C93C-EED5-4083-9F48-7E5F0D891018}"/>
  </bookViews>
  <sheets>
    <sheet name="Dashbaord" sheetId="12" r:id="rId1"/>
    <sheet name="Pivot" sheetId="10" r:id="rId2"/>
    <sheet name="Cleaned Employees Table" sheetId="6" r:id="rId3"/>
    <sheet name="Cleaned Products Table" sheetId="5" r:id="rId4"/>
    <sheet name="Cleaned Orders Table" sheetId="4" r:id="rId5"/>
    <sheet name="RAW Employees Table" sheetId="3" r:id="rId6"/>
    <sheet name="RAW Products Table" sheetId="2" r:id="rId7"/>
    <sheet name="RAW Orders Table" sheetId="1" r:id="rId8"/>
  </sheets>
  <calcPr calcId="191029"/>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12" l="1"/>
  <c r="F6" i="12"/>
  <c r="D6" i="12"/>
  <c r="B6" i="12"/>
  <c r="F12" i="4"/>
  <c r="H12" i="4"/>
  <c r="N12" i="4"/>
  <c r="G12" i="4"/>
  <c r="K2" i="4" l="1"/>
  <c r="K3" i="4"/>
  <c r="K4" i="4"/>
  <c r="K5" i="4"/>
  <c r="K6" i="4"/>
  <c r="K7" i="4"/>
  <c r="K8" i="4"/>
  <c r="K9" i="4"/>
  <c r="K10" i="4"/>
  <c r="K11" i="4"/>
  <c r="O2" i="4"/>
  <c r="O3" i="4"/>
  <c r="O4" i="4"/>
  <c r="O5" i="4"/>
  <c r="O6" i="4"/>
  <c r="O7" i="4"/>
  <c r="O8" i="4"/>
  <c r="O9" i="4"/>
  <c r="O10" i="4"/>
  <c r="O11" i="4"/>
  <c r="N2" i="4"/>
  <c r="I2" i="4" s="1"/>
  <c r="N3" i="4"/>
  <c r="I3" i="4" s="1"/>
  <c r="J3" i="4" s="1"/>
  <c r="N4" i="4"/>
  <c r="I4" i="4" s="1"/>
  <c r="J4" i="4" s="1"/>
  <c r="N5" i="4"/>
  <c r="I5" i="4" s="1"/>
  <c r="J5" i="4" s="1"/>
  <c r="N6" i="4"/>
  <c r="I6" i="4" s="1"/>
  <c r="J6" i="4" s="1"/>
  <c r="N7" i="4"/>
  <c r="I7" i="4" s="1"/>
  <c r="J7" i="4" s="1"/>
  <c r="N8" i="4"/>
  <c r="I8" i="4" s="1"/>
  <c r="J8" i="4" s="1"/>
  <c r="N9" i="4"/>
  <c r="I9" i="4" s="1"/>
  <c r="J9" i="4" s="1"/>
  <c r="N10" i="4"/>
  <c r="I10" i="4" s="1"/>
  <c r="J10" i="4" s="1"/>
  <c r="N11" i="4"/>
  <c r="I11" i="4" s="1"/>
  <c r="J11" i="4" s="1"/>
  <c r="M2" i="4"/>
  <c r="M3" i="4"/>
  <c r="M4" i="4"/>
  <c r="M5" i="4"/>
  <c r="M6" i="4"/>
  <c r="M7" i="4"/>
  <c r="M8" i="4"/>
  <c r="M9" i="4"/>
  <c r="M10" i="4"/>
  <c r="M11" i="4"/>
  <c r="L2" i="4"/>
  <c r="L3" i="4"/>
  <c r="L4" i="4"/>
  <c r="L5" i="4"/>
  <c r="L6" i="4"/>
  <c r="L7" i="4"/>
  <c r="L8" i="4"/>
  <c r="L9" i="4"/>
  <c r="L10" i="4"/>
  <c r="L11" i="4"/>
  <c r="J2" i="4" l="1"/>
  <c r="I12" i="4"/>
</calcChain>
</file>

<file path=xl/sharedStrings.xml><?xml version="1.0" encoding="utf-8"?>
<sst xmlns="http://schemas.openxmlformats.org/spreadsheetml/2006/main" count="164" uniqueCount="47">
  <si>
    <t>OrderID</t>
  </si>
  <si>
    <t>Date</t>
  </si>
  <si>
    <t>Store</t>
  </si>
  <si>
    <t>Employee</t>
  </si>
  <si>
    <t>ProductID</t>
  </si>
  <si>
    <t>Units</t>
  </si>
  <si>
    <t>Revenue</t>
  </si>
  <si>
    <t>Discount</t>
  </si>
  <si>
    <t>West</t>
  </si>
  <si>
    <t>Ana</t>
  </si>
  <si>
    <t>P01</t>
  </si>
  <si>
    <t>Mark</t>
  </si>
  <si>
    <t>P02</t>
  </si>
  <si>
    <t>East</t>
  </si>
  <si>
    <t>Chris</t>
  </si>
  <si>
    <t>North</t>
  </si>
  <si>
    <t>Lisa</t>
  </si>
  <si>
    <t>P03</t>
  </si>
  <si>
    <t>South</t>
  </si>
  <si>
    <t>Product</t>
  </si>
  <si>
    <t>Category</t>
  </si>
  <si>
    <t>Cost</t>
  </si>
  <si>
    <t>Phone</t>
  </si>
  <si>
    <t>Electronics</t>
  </si>
  <si>
    <t>Laptop</t>
  </si>
  <si>
    <t>Accessories</t>
  </si>
  <si>
    <t>Add-ons</t>
  </si>
  <si>
    <t>Hourly Rate</t>
  </si>
  <si>
    <t>Product Name</t>
  </si>
  <si>
    <t>Employee Hourly Rate</t>
  </si>
  <si>
    <t>Profit</t>
  </si>
  <si>
    <t>Profit Margin</t>
  </si>
  <si>
    <t>Discount Flag</t>
  </si>
  <si>
    <t>Row Labels</t>
  </si>
  <si>
    <t>Grand Total</t>
  </si>
  <si>
    <t>Sum of Profit</t>
  </si>
  <si>
    <t>Profit by Store</t>
  </si>
  <si>
    <t>Profit by Employee</t>
  </si>
  <si>
    <t>Profit by Category</t>
  </si>
  <si>
    <t>Discount Impact</t>
  </si>
  <si>
    <t>Discounted</t>
  </si>
  <si>
    <t>Full Price</t>
  </si>
  <si>
    <t>Sum of Revenue</t>
  </si>
  <si>
    <t>Total Revenue</t>
  </si>
  <si>
    <t>Total Profit</t>
  </si>
  <si>
    <t>Avg Margin %</t>
  </si>
  <si>
    <t>% Discounted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</si>
</sst>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theme="1"/>
      <name val="Aptos Narrow"/>
      <family val="2"/>
      <scheme val="minor"/>
    </font>
    <font>
      <b/>
      <sz val="11"/>
      <color theme="1"/>
      <name val="Aptos Narrow"/>
      <family val="2"/>
      <scheme val="minor"/>
    </font>
    <font>
      <b/>
      <sz val="48"/>
      <color theme="1"/>
      <name val="Aptos Narrow"/>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1" fillId="0" borderId="0" xfId="0" applyFont="1"/>
    <xf numFmtId="164" fontId="0" fillId="0" borderId="0" xfId="0" applyNumberFormat="1" applyAlignment="1">
      <alignment vertical="center" wrapText="1"/>
    </xf>
    <xf numFmtId="0" fontId="0" fillId="0" borderId="0" xfId="0" pivotButton="1"/>
    <xf numFmtId="0" fontId="0" fillId="0" borderId="0" xfId="0" applyAlignment="1">
      <alignment horizontal="left"/>
    </xf>
    <xf numFmtId="0" fontId="2" fillId="2" borderId="0" xfId="0" applyFont="1" applyFill="1"/>
    <xf numFmtId="0" fontId="0" fillId="3" borderId="0" xfId="0" applyFill="1"/>
    <xf numFmtId="0" fontId="2" fillId="4" borderId="0" xfId="0" applyFont="1" applyFill="1"/>
  </cellXfs>
  <cellStyles count="1">
    <cellStyle name="Normal" xfId="0" builtinId="0"/>
  </cellStyles>
  <dxfs count="43">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164" formatCode="0.000"/>
      <alignment horizontal="general" vertical="center" textRotation="0" wrapText="1" indent="0" justifyLastLine="0" shrinkToFit="0" readingOrder="0"/>
    </dxf>
    <dxf>
      <numFmt numFmtId="164" formatCode="0.000"/>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Operations Audit.xlsx]Pivot!PivotTable1</c:name>
    <c:fmtId val="3"/>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a:t>Profit by Store</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25000"/>
              <a:lumOff val="75000"/>
            </a:schemeClr>
          </a:solid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c:f>
              <c:strCache>
                <c:ptCount val="1"/>
                <c:pt idx="0">
                  <c:v>Total</c:v>
                </c:pt>
              </c:strCache>
            </c:strRef>
          </c:tx>
          <c:spPr>
            <a:solidFill>
              <a:schemeClr val="tx2">
                <a:lumMod val="25000"/>
                <a:lumOff val="75000"/>
              </a:schemeClr>
            </a:solid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Pivot!$A$5:$A$9</c:f>
              <c:strCache>
                <c:ptCount val="4"/>
                <c:pt idx="0">
                  <c:v>North</c:v>
                </c:pt>
                <c:pt idx="1">
                  <c:v>West</c:v>
                </c:pt>
                <c:pt idx="2">
                  <c:v>East</c:v>
                </c:pt>
                <c:pt idx="3">
                  <c:v>South</c:v>
                </c:pt>
              </c:strCache>
            </c:strRef>
          </c:cat>
          <c:val>
            <c:numRef>
              <c:f>Pivot!$B$5:$B$9</c:f>
              <c:numCache>
                <c:formatCode>General</c:formatCode>
                <c:ptCount val="4"/>
                <c:pt idx="0">
                  <c:v>900</c:v>
                </c:pt>
                <c:pt idx="1">
                  <c:v>550</c:v>
                </c:pt>
                <c:pt idx="2">
                  <c:v>300</c:v>
                </c:pt>
                <c:pt idx="3">
                  <c:v>200</c:v>
                </c:pt>
              </c:numCache>
            </c:numRef>
          </c:val>
          <c:extLst>
            <c:ext xmlns:c16="http://schemas.microsoft.com/office/drawing/2014/chart" uri="{C3380CC4-5D6E-409C-BE32-E72D297353CC}">
              <c16:uniqueId val="{00000000-8092-41B8-B1B5-ED99069005B2}"/>
            </c:ext>
          </c:extLst>
        </c:ser>
        <c:dLbls>
          <c:dLblPos val="inEnd"/>
          <c:showLegendKey val="0"/>
          <c:showVal val="1"/>
          <c:showCatName val="0"/>
          <c:showSerName val="0"/>
          <c:showPercent val="0"/>
          <c:showBubbleSize val="0"/>
        </c:dLbls>
        <c:gapWidth val="164"/>
        <c:overlap val="-35"/>
        <c:axId val="80762367"/>
        <c:axId val="80764767"/>
      </c:barChart>
      <c:catAx>
        <c:axId val="80762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0764767"/>
        <c:crosses val="autoZero"/>
        <c:auto val="1"/>
        <c:lblAlgn val="ctr"/>
        <c:lblOffset val="100"/>
        <c:noMultiLvlLbl val="0"/>
      </c:catAx>
      <c:valAx>
        <c:axId val="80764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076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Operations Audit.xlsx]Pivot!PivotTable2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Pivot!$E$4</c:f>
              <c:strCache>
                <c:ptCount val="1"/>
                <c:pt idx="0">
                  <c:v>Total</c:v>
                </c:pt>
              </c:strCache>
            </c:strRef>
          </c:tx>
          <c:spPr>
            <a:solidFill>
              <a:schemeClr val="accent1"/>
            </a:solidFill>
            <a:ln>
              <a:noFill/>
            </a:ln>
            <a:effectLst/>
          </c:spPr>
          <c:invertIfNegative val="0"/>
          <c:cat>
            <c:strRef>
              <c:f>Pivot!$D$5:$D$9</c:f>
              <c:strCache>
                <c:ptCount val="4"/>
                <c:pt idx="0">
                  <c:v>Lisa</c:v>
                </c:pt>
                <c:pt idx="1">
                  <c:v>Chris</c:v>
                </c:pt>
                <c:pt idx="2">
                  <c:v>Ana</c:v>
                </c:pt>
                <c:pt idx="3">
                  <c:v>Mark</c:v>
                </c:pt>
              </c:strCache>
            </c:strRef>
          </c:cat>
          <c:val>
            <c:numRef>
              <c:f>Pivot!$E$5:$E$9</c:f>
              <c:numCache>
                <c:formatCode>General</c:formatCode>
                <c:ptCount val="4"/>
                <c:pt idx="0">
                  <c:v>750</c:v>
                </c:pt>
                <c:pt idx="1">
                  <c:v>550</c:v>
                </c:pt>
                <c:pt idx="2">
                  <c:v>400</c:v>
                </c:pt>
                <c:pt idx="3">
                  <c:v>250</c:v>
                </c:pt>
              </c:numCache>
            </c:numRef>
          </c:val>
          <c:extLst>
            <c:ext xmlns:c16="http://schemas.microsoft.com/office/drawing/2014/chart" uri="{C3380CC4-5D6E-409C-BE32-E72D297353CC}">
              <c16:uniqueId val="{00000000-58D5-4562-A5C4-AF74E59173AC}"/>
            </c:ext>
          </c:extLst>
        </c:ser>
        <c:dLbls>
          <c:showLegendKey val="0"/>
          <c:showVal val="0"/>
          <c:showCatName val="0"/>
          <c:showSerName val="0"/>
          <c:showPercent val="0"/>
          <c:showBubbleSize val="0"/>
        </c:dLbls>
        <c:gapWidth val="219"/>
        <c:overlap val="-27"/>
        <c:axId val="87970879"/>
        <c:axId val="87967999"/>
      </c:barChart>
      <c:catAx>
        <c:axId val="8797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67999"/>
        <c:crosses val="autoZero"/>
        <c:auto val="1"/>
        <c:lblAlgn val="ctr"/>
        <c:lblOffset val="100"/>
        <c:noMultiLvlLbl val="0"/>
      </c:catAx>
      <c:valAx>
        <c:axId val="8796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70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Operations Audit.xlsx]Pivot!PivotTable4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Pivot!$K$4</c:f>
              <c:strCache>
                <c:ptCount val="1"/>
                <c:pt idx="0">
                  <c:v>Sum of Revenue</c:v>
                </c:pt>
              </c:strCache>
            </c:strRef>
          </c:tx>
          <c:spPr>
            <a:solidFill>
              <a:schemeClr val="accent1"/>
            </a:solidFill>
            <a:ln>
              <a:noFill/>
            </a:ln>
            <a:effectLst/>
          </c:spPr>
          <c:invertIfNegative val="0"/>
          <c:cat>
            <c:strRef>
              <c:f>Pivot!$J$5:$J$7</c:f>
              <c:strCache>
                <c:ptCount val="2"/>
                <c:pt idx="0">
                  <c:v>Discounted</c:v>
                </c:pt>
                <c:pt idx="1">
                  <c:v>Full Price</c:v>
                </c:pt>
              </c:strCache>
            </c:strRef>
          </c:cat>
          <c:val>
            <c:numRef>
              <c:f>Pivot!$K$5:$K$7</c:f>
              <c:numCache>
                <c:formatCode>General</c:formatCode>
                <c:ptCount val="2"/>
                <c:pt idx="0">
                  <c:v>2550</c:v>
                </c:pt>
                <c:pt idx="1">
                  <c:v>2550</c:v>
                </c:pt>
              </c:numCache>
            </c:numRef>
          </c:val>
          <c:extLst>
            <c:ext xmlns:c16="http://schemas.microsoft.com/office/drawing/2014/chart" uri="{C3380CC4-5D6E-409C-BE32-E72D297353CC}">
              <c16:uniqueId val="{00000000-E3AB-4700-9E23-FA38D583DA18}"/>
            </c:ext>
          </c:extLst>
        </c:ser>
        <c:ser>
          <c:idx val="1"/>
          <c:order val="1"/>
          <c:tx>
            <c:strRef>
              <c:f>Pivot!$L$4</c:f>
              <c:strCache>
                <c:ptCount val="1"/>
                <c:pt idx="0">
                  <c:v>Sum of Profit</c:v>
                </c:pt>
              </c:strCache>
            </c:strRef>
          </c:tx>
          <c:spPr>
            <a:solidFill>
              <a:schemeClr val="accent2"/>
            </a:solidFill>
            <a:ln>
              <a:noFill/>
            </a:ln>
            <a:effectLst/>
          </c:spPr>
          <c:invertIfNegative val="0"/>
          <c:cat>
            <c:strRef>
              <c:f>Pivot!$J$5:$J$7</c:f>
              <c:strCache>
                <c:ptCount val="2"/>
                <c:pt idx="0">
                  <c:v>Discounted</c:v>
                </c:pt>
                <c:pt idx="1">
                  <c:v>Full Price</c:v>
                </c:pt>
              </c:strCache>
            </c:strRef>
          </c:cat>
          <c:val>
            <c:numRef>
              <c:f>Pivot!$L$5:$L$7</c:f>
              <c:numCache>
                <c:formatCode>General</c:formatCode>
                <c:ptCount val="2"/>
                <c:pt idx="0">
                  <c:v>1000</c:v>
                </c:pt>
                <c:pt idx="1">
                  <c:v>950</c:v>
                </c:pt>
              </c:numCache>
            </c:numRef>
          </c:val>
          <c:extLst>
            <c:ext xmlns:c16="http://schemas.microsoft.com/office/drawing/2014/chart" uri="{C3380CC4-5D6E-409C-BE32-E72D297353CC}">
              <c16:uniqueId val="{00000001-E3AB-4700-9E23-FA38D583DA18}"/>
            </c:ext>
          </c:extLst>
        </c:ser>
        <c:dLbls>
          <c:showLegendKey val="0"/>
          <c:showVal val="0"/>
          <c:showCatName val="0"/>
          <c:showSerName val="0"/>
          <c:showPercent val="0"/>
          <c:showBubbleSize val="0"/>
        </c:dLbls>
        <c:gapWidth val="219"/>
        <c:overlap val="-27"/>
        <c:axId val="1434383679"/>
        <c:axId val="150346175"/>
      </c:barChart>
      <c:catAx>
        <c:axId val="143438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46175"/>
        <c:crosses val="autoZero"/>
        <c:auto val="1"/>
        <c:lblAlgn val="ctr"/>
        <c:lblOffset val="100"/>
        <c:noMultiLvlLbl val="0"/>
      </c:catAx>
      <c:valAx>
        <c:axId val="150346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38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423862</xdr:colOff>
      <xdr:row>9</xdr:row>
      <xdr:rowOff>119062</xdr:rowOff>
    </xdr:from>
    <xdr:to>
      <xdr:col>3</xdr:col>
      <xdr:colOff>890587</xdr:colOff>
      <xdr:row>24</xdr:row>
      <xdr:rowOff>147637</xdr:rowOff>
    </xdr:to>
    <xdr:graphicFrame macro="">
      <xdr:nvGraphicFramePr>
        <xdr:cNvPr id="2" name="Chart 1">
          <a:extLst>
            <a:ext uri="{FF2B5EF4-FFF2-40B4-BE49-F238E27FC236}">
              <a16:creationId xmlns:a16="http://schemas.microsoft.com/office/drawing/2014/main" id="{3B416AEA-A451-4051-BE92-F2DF67C7B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1381125</xdr:colOff>
      <xdr:row>9</xdr:row>
      <xdr:rowOff>104775</xdr:rowOff>
    </xdr:from>
    <xdr:to>
      <xdr:col>5</xdr:col>
      <xdr:colOff>2562225</xdr:colOff>
      <xdr:row>24</xdr:row>
      <xdr:rowOff>133350</xdr:rowOff>
    </xdr:to>
    <xdr:graphicFrame macro="">
      <xdr:nvGraphicFramePr>
        <xdr:cNvPr id="3" name="Chart 2">
          <a:extLst>
            <a:ext uri="{FF2B5EF4-FFF2-40B4-BE49-F238E27FC236}">
              <a16:creationId xmlns:a16="http://schemas.microsoft.com/office/drawing/2014/main" id="{7DC3655F-8606-4C65-BCFC-C764A8E40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2990850</xdr:colOff>
      <xdr:row>9</xdr:row>
      <xdr:rowOff>104775</xdr:rowOff>
    </xdr:from>
    <xdr:to>
      <xdr:col>7</xdr:col>
      <xdr:colOff>3686175</xdr:colOff>
      <xdr:row>24</xdr:row>
      <xdr:rowOff>133350</xdr:rowOff>
    </xdr:to>
    <xdr:graphicFrame macro="">
      <xdr:nvGraphicFramePr>
        <xdr:cNvPr id="4" name="Chart 3">
          <a:extLst>
            <a:ext uri="{FF2B5EF4-FFF2-40B4-BE49-F238E27FC236}">
              <a16:creationId xmlns:a16="http://schemas.microsoft.com/office/drawing/2014/main" id="{06F56F49-EFB7-41EC-A864-F7F201636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623887</xdr:colOff>
      <xdr:row>3</xdr:row>
      <xdr:rowOff>66674</xdr:rowOff>
    </xdr:from>
    <xdr:to>
      <xdr:col>15</xdr:col>
      <xdr:colOff>123825</xdr:colOff>
      <xdr:row>37</xdr:row>
      <xdr:rowOff>100013</xdr:rowOff>
    </xdr:to>
    <xdr:sp macro="" textlink="">
      <xdr:nvSpPr>
        <xdr:cNvPr id="5" name="TextBox 4">
          <a:extLst>
            <a:ext uri="{FF2B5EF4-FFF2-40B4-BE49-F238E27FC236}">
              <a16:creationId xmlns:a16="http://schemas.microsoft.com/office/drawing/2014/main" id="{65590F8B-EE69-5C8A-1B6D-FE2D794AE434}"/>
            </a:ext>
          </a:extLst>
        </xdr:cNvPr>
        <xdr:cNvSpPr txBox="1"/>
      </xdr:nvSpPr>
      <xdr:spPr>
        <a:xfrm>
          <a:off x="17554575" y="609599"/>
          <a:ext cx="4033838" cy="74056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t>Which store is actually profitable?</a:t>
          </a:r>
        </a:p>
        <a:p>
          <a:r>
            <a:rPr lang="en-US" sz="1600" b="0" i="1"/>
            <a:t>All the stores are profitable</a:t>
          </a:r>
          <a:r>
            <a:rPr lang="en-US" sz="1600" b="0" i="1" baseline="0"/>
            <a:t> but t</a:t>
          </a:r>
          <a:r>
            <a:rPr lang="en-US" sz="1600" b="0" i="1"/>
            <a:t>he</a:t>
          </a:r>
          <a:r>
            <a:rPr lang="en-US" sz="1600" b="0" i="1" baseline="0"/>
            <a:t> </a:t>
          </a:r>
          <a:r>
            <a:rPr lang="en-US" sz="1600" b="1" i="1" baseline="0"/>
            <a:t>North</a:t>
          </a:r>
          <a:r>
            <a:rPr lang="en-US" sz="1600" b="0" i="1" baseline="0"/>
            <a:t> store is the most profitable and the most efficient.</a:t>
          </a:r>
          <a:endParaRPr lang="en-US" sz="1600" b="0" i="1"/>
        </a:p>
        <a:p>
          <a:endParaRPr lang="en-US" sz="1600" b="1"/>
        </a:p>
        <a:p>
          <a:r>
            <a:rPr lang="en-US" sz="1600" b="1" u="sng"/>
            <a:t>Who is hurting margins?</a:t>
          </a:r>
        </a:p>
        <a:p>
          <a:r>
            <a:rPr lang="en-US" sz="1600" b="0" i="1"/>
            <a:t>Margins are being</a:t>
          </a:r>
          <a:r>
            <a:rPr lang="en-US" sz="1600" b="0" i="1" baseline="0"/>
            <a:t> hurt by discounted laptop sales, because the high product costs and aggressive discounting is resulting in consistent low margins.</a:t>
          </a:r>
          <a:endParaRPr lang="en-US" sz="1600" b="0" i="1"/>
        </a:p>
        <a:p>
          <a:endParaRPr lang="en-US" sz="1600" b="1"/>
        </a:p>
        <a:p>
          <a:r>
            <a:rPr lang="en-US" sz="1600" b="1" u="sng"/>
            <a:t>Are discounts destroying profit?</a:t>
          </a:r>
        </a:p>
        <a:p>
          <a:r>
            <a:rPr lang="en-US" sz="1600" b="0" i="1"/>
            <a:t>Discounts increase</a:t>
          </a:r>
          <a:r>
            <a:rPr lang="en-US" sz="1600" b="0" i="1" baseline="0"/>
            <a:t> profits for </a:t>
          </a:r>
          <a:r>
            <a:rPr lang="en-US" sz="1600" b="1" i="1" baseline="0"/>
            <a:t>Add-ons,</a:t>
          </a:r>
          <a:r>
            <a:rPr lang="en-US" sz="1600" b="0" i="1" baseline="0"/>
            <a:t> but </a:t>
          </a:r>
          <a:r>
            <a:rPr lang="en-US" sz="1600" b="1" i="1" baseline="0"/>
            <a:t>damage margins for Electronics, </a:t>
          </a:r>
          <a:r>
            <a:rPr lang="en-US" sz="1600" b="0" i="1" baseline="0"/>
            <a:t>especially laptops. Discounts are effective only when applied to low-cost, high margin products.</a:t>
          </a:r>
          <a:endParaRPr lang="en-US" sz="1600" b="1" i="1"/>
        </a:p>
        <a:p>
          <a:endParaRPr lang="en-US" sz="1600" b="1"/>
        </a:p>
        <a:p>
          <a:r>
            <a:rPr lang="en-US" sz="1600" b="1" u="sng"/>
            <a:t>Which category subsidizes the company?</a:t>
          </a:r>
        </a:p>
        <a:p>
          <a:r>
            <a:rPr lang="en-US" sz="1600" b="1" i="1"/>
            <a:t>Add-ons</a:t>
          </a:r>
          <a:r>
            <a:rPr lang="en-US" sz="1600" b="1" i="1" baseline="0"/>
            <a:t> subsidize the company</a:t>
          </a:r>
          <a:r>
            <a:rPr lang="en-US" sz="1600" b="0" i="1" baseline="0"/>
            <a:t>, generating high-margin profits that offset weaker margins in Electronics.</a:t>
          </a:r>
        </a:p>
        <a:p>
          <a:endParaRPr lang="en-US" sz="1600" b="1"/>
        </a:p>
        <a:p>
          <a:r>
            <a:rPr lang="en-US" sz="1600" b="1" u="sng"/>
            <a:t>What is leadership doing wrong?</a:t>
          </a:r>
        </a:p>
        <a:p>
          <a:r>
            <a:rPr lang="en-US" sz="1600"/>
            <a:t>Leadership applies discounts without considering</a:t>
          </a:r>
          <a:r>
            <a:rPr lang="en-US" sz="1600" baseline="0"/>
            <a:t> product-level margins. High-margin Add-ons can absorb discounts profitibility, but Electronics - especially laptops - cannot. This indicates a lack of margin-based pricing strategy and weak governance around discounting decisions.</a:t>
          </a:r>
          <a:endParaRPr lang="en-US" sz="1600"/>
        </a:p>
      </xdr:txBody>
    </xdr:sp>
    <xdr:clientData/>
  </xdr:twoCellAnchor>
  <xdr:twoCellAnchor>
    <xdr:from>
      <xdr:col>15</xdr:col>
      <xdr:colOff>385762</xdr:colOff>
      <xdr:row>3</xdr:row>
      <xdr:rowOff>114300</xdr:rowOff>
    </xdr:from>
    <xdr:to>
      <xdr:col>24</xdr:col>
      <xdr:colOff>109537</xdr:colOff>
      <xdr:row>18</xdr:row>
      <xdr:rowOff>100013</xdr:rowOff>
    </xdr:to>
    <xdr:sp macro="" textlink="">
      <xdr:nvSpPr>
        <xdr:cNvPr id="6" name="TextBox 5">
          <a:extLst>
            <a:ext uri="{FF2B5EF4-FFF2-40B4-BE49-F238E27FC236}">
              <a16:creationId xmlns:a16="http://schemas.microsoft.com/office/drawing/2014/main" id="{44D306AF-7BEB-53E2-3D93-034A2C334ED1}"/>
            </a:ext>
          </a:extLst>
        </xdr:cNvPr>
        <xdr:cNvSpPr txBox="1"/>
      </xdr:nvSpPr>
      <xdr:spPr>
        <a:xfrm>
          <a:off x="21850350" y="657225"/>
          <a:ext cx="5553075" cy="39195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t>Summary:</a:t>
          </a:r>
        </a:p>
        <a:p>
          <a:r>
            <a:rPr lang="en-US" sz="1800"/>
            <a:t>All stores are profitable, but the North store is the most efficient, generating the highest profit with the fewest orders. Margin pressure is driven not by employees but by discounted laptop sales, which combine high costs with aggressive discounting. Discounts are effective for Add-ons but harmful for Electronics, indicating that discounting is being applied without regard to product economics. Add-ons subsidize the company by funding weaker Electronics margins. Leadership’s primary failure is the lack of a margin-aware pricing and discount strategy.</a:t>
          </a:r>
          <a:endParaRPr lang="en-US" sz="1800" b="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k Santana" refreshedDate="46058.570642939812" createdVersion="8" refreshedVersion="8" minRefreshableVersion="3" recordCount="10" xr:uid="{BD162B62-EB10-4FF2-BC1E-EEC89612D18B}">
  <cacheSource type="worksheet">
    <worksheetSource name="Orders"/>
  </cacheSource>
  <cacheFields count="15">
    <cacheField name="OrderID" numFmtId="0">
      <sharedItems containsSemiMixedTypes="0" containsString="0" containsNumber="1" containsInteger="1" minValue="2001" maxValue="2010"/>
    </cacheField>
    <cacheField name="Date" numFmtId="14">
      <sharedItems containsSemiMixedTypes="0" containsNonDate="0" containsDate="1" containsString="0" minDate="2024-03-01T00:00:00" maxDate="2024-03-08T00:00:00"/>
    </cacheField>
    <cacheField name="Store" numFmtId="0">
      <sharedItems count="4">
        <s v="West"/>
        <s v="East"/>
        <s v="North"/>
        <s v="South"/>
      </sharedItems>
    </cacheField>
    <cacheField name="Employee" numFmtId="0">
      <sharedItems count="4">
        <s v="Ana"/>
        <s v="Mark"/>
        <s v="Chris"/>
        <s v="Lisa"/>
      </sharedItems>
    </cacheField>
    <cacheField name="ProductID" numFmtId="0">
      <sharedItems/>
    </cacheField>
    <cacheField name="Units" numFmtId="0">
      <sharedItems containsSemiMixedTypes="0" containsString="0" containsNumber="1" containsInteger="1" minValue="1" maxValue="3"/>
    </cacheField>
    <cacheField name="Revenue" numFmtId="0">
      <sharedItems containsSemiMixedTypes="0" containsString="0" containsNumber="1" containsInteger="1" minValue="300" maxValue="900"/>
    </cacheField>
    <cacheField name="Discount" numFmtId="0">
      <sharedItems containsSemiMixedTypes="0" containsString="0" containsNumber="1" containsInteger="1" minValue="0" maxValue="100"/>
    </cacheField>
    <cacheField name="Profit" numFmtId="0">
      <sharedItems containsSemiMixedTypes="0" containsString="0" containsNumber="1" containsInteger="1" minValue="50" maxValue="650"/>
    </cacheField>
    <cacheField name="Profit Margin" numFmtId="164">
      <sharedItems containsSemiMixedTypes="0" containsString="0" containsNumber="1" minValue="0.1111111111111111" maxValue="0.83333333333333337"/>
    </cacheField>
    <cacheField name="Discount Flag" numFmtId="164">
      <sharedItems count="2">
        <s v="Full Price"/>
        <s v="Discounted"/>
      </sharedItems>
    </cacheField>
    <cacheField name="Product Name" numFmtId="0">
      <sharedItems/>
    </cacheField>
    <cacheField name="Category" numFmtId="0">
      <sharedItems count="2">
        <s v="Electronics"/>
        <s v="Add-ons"/>
      </sharedItems>
    </cacheField>
    <cacheField name="Cost" numFmtId="0">
      <sharedItems containsSemiMixedTypes="0" containsString="0" containsNumber="1" containsInteger="1" minValue="50" maxValue="350"/>
    </cacheField>
    <cacheField name="Employee Hourly Rate" numFmtId="0">
      <sharedItems containsSemiMixedTypes="0" containsString="0" containsNumber="1" containsInteger="1" minValue="20"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2001"/>
    <d v="2024-03-01T00:00:00"/>
    <x v="0"/>
    <x v="0"/>
    <s v="P01"/>
    <n v="2"/>
    <n v="600"/>
    <n v="0"/>
    <n v="200"/>
    <n v="0.33333333333333331"/>
    <x v="0"/>
    <s v="Phone"/>
    <x v="0"/>
    <n v="200"/>
    <n v="25"/>
  </r>
  <r>
    <n v="2002"/>
    <d v="2024-03-01T00:00:00"/>
    <x v="0"/>
    <x v="1"/>
    <s v="P02"/>
    <n v="1"/>
    <n v="450"/>
    <n v="50"/>
    <n v="50"/>
    <n v="0.1111111111111111"/>
    <x v="1"/>
    <s v="Laptop"/>
    <x v="0"/>
    <n v="350"/>
    <n v="28"/>
  </r>
  <r>
    <n v="2003"/>
    <d v="2024-03-02T00:00:00"/>
    <x v="1"/>
    <x v="2"/>
    <s v="P01"/>
    <n v="1"/>
    <n v="300"/>
    <n v="0"/>
    <n v="100"/>
    <n v="0.33333333333333331"/>
    <x v="0"/>
    <s v="Phone"/>
    <x v="0"/>
    <n v="200"/>
    <n v="22"/>
  </r>
  <r>
    <n v="2004"/>
    <d v="2024-03-02T00:00:00"/>
    <x v="2"/>
    <x v="3"/>
    <s v="P03"/>
    <n v="3"/>
    <n v="900"/>
    <n v="100"/>
    <n v="650"/>
    <n v="0.72222222222222221"/>
    <x v="1"/>
    <s v="Accessories"/>
    <x v="1"/>
    <n v="50"/>
    <n v="20"/>
  </r>
  <r>
    <n v="2005"/>
    <d v="2024-03-03T00:00:00"/>
    <x v="3"/>
    <x v="0"/>
    <s v="P02"/>
    <n v="1"/>
    <n v="450"/>
    <n v="0"/>
    <n v="100"/>
    <n v="0.22222222222222221"/>
    <x v="0"/>
    <s v="Laptop"/>
    <x v="0"/>
    <n v="350"/>
    <n v="25"/>
  </r>
  <r>
    <n v="2006"/>
    <d v="2024-03-04T00:00:00"/>
    <x v="0"/>
    <x v="2"/>
    <s v="P01"/>
    <n v="2"/>
    <n v="600"/>
    <n v="0"/>
    <n v="200"/>
    <n v="0.33333333333333331"/>
    <x v="0"/>
    <s v="Phone"/>
    <x v="0"/>
    <n v="200"/>
    <n v="22"/>
  </r>
  <r>
    <n v="2007"/>
    <d v="2024-03-05T00:00:00"/>
    <x v="1"/>
    <x v="1"/>
    <s v="P03"/>
    <n v="1"/>
    <n v="300"/>
    <n v="50"/>
    <n v="200"/>
    <n v="0.66666666666666663"/>
    <x v="1"/>
    <s v="Accessories"/>
    <x v="1"/>
    <n v="50"/>
    <n v="28"/>
  </r>
  <r>
    <n v="2008"/>
    <d v="2024-03-05T00:00:00"/>
    <x v="3"/>
    <x v="3"/>
    <s v="P01"/>
    <n v="1"/>
    <n v="300"/>
    <n v="0"/>
    <n v="100"/>
    <n v="0.33333333333333331"/>
    <x v="0"/>
    <s v="Phone"/>
    <x v="0"/>
    <n v="200"/>
    <n v="20"/>
  </r>
  <r>
    <n v="2009"/>
    <d v="2024-03-06T00:00:00"/>
    <x v="0"/>
    <x v="0"/>
    <s v="P02"/>
    <n v="2"/>
    <n v="900"/>
    <n v="100"/>
    <n v="100"/>
    <n v="0.1111111111111111"/>
    <x v="1"/>
    <s v="Laptop"/>
    <x v="0"/>
    <n v="350"/>
    <n v="25"/>
  </r>
  <r>
    <n v="2010"/>
    <d v="2024-03-07T00:00:00"/>
    <x v="2"/>
    <x v="2"/>
    <s v="P03"/>
    <n v="1"/>
    <n v="300"/>
    <n v="0"/>
    <n v="250"/>
    <n v="0.83333333333333337"/>
    <x v="0"/>
    <s v="Accessories"/>
    <x v="1"/>
    <n v="50"/>
    <n v="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9F795E-C1BD-4CE6-A337-8F329B5E7AD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H7" firstHeaderRow="1" firstDataRow="1" firstDataCol="1"/>
  <pivotFields count="15">
    <pivotField showAll="0"/>
    <pivotField numFmtId="14" showAll="0"/>
    <pivotField showAll="0"/>
    <pivotField showAll="0"/>
    <pivotField showAll="0"/>
    <pivotField showAll="0"/>
    <pivotField showAll="0"/>
    <pivotField showAll="0"/>
    <pivotField dataField="1" showAll="0"/>
    <pivotField numFmtId="164"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s>
  <rowFields count="1">
    <field x="12"/>
  </rowFields>
  <rowItems count="3">
    <i>
      <x/>
    </i>
    <i>
      <x v="1"/>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5F33C7-13E6-4052-830E-0146D8D9026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4:E9" firstHeaderRow="1" firstDataRow="1" firstDataCol="1"/>
  <pivotFields count="15">
    <pivotField showAll="0"/>
    <pivotField numFmtId="14" showAll="0"/>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numFmtId="164" showAll="0"/>
    <pivotField showAll="0"/>
    <pivotField showAll="0"/>
    <pivotField showAll="0"/>
    <pivotField showAll="0"/>
    <pivotField showAll="0"/>
  </pivotFields>
  <rowFields count="1">
    <field x="3"/>
  </rowFields>
  <rowItems count="5">
    <i>
      <x v="2"/>
    </i>
    <i>
      <x v="1"/>
    </i>
    <i>
      <x/>
    </i>
    <i>
      <x v="3"/>
    </i>
    <i t="grand">
      <x/>
    </i>
  </rowItems>
  <colItems count="1">
    <i/>
  </colItems>
  <dataFields count="1">
    <dataField name="Sum of Profit"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FC2881-8675-487F-BC14-32678A95C2A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B9" firstHeaderRow="1" firstDataRow="1" firstDataCol="1"/>
  <pivotFields count="15">
    <pivotField showAll="0"/>
    <pivotField numFmtId="14"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numFmtId="164" showAll="0"/>
    <pivotField showAll="0"/>
    <pivotField showAll="0"/>
    <pivotField showAll="0"/>
    <pivotField showAll="0"/>
    <pivotField showAll="0"/>
  </pivotFields>
  <rowFields count="1">
    <field x="2"/>
  </rowFields>
  <rowItems count="5">
    <i>
      <x v="1"/>
    </i>
    <i>
      <x v="3"/>
    </i>
    <i>
      <x/>
    </i>
    <i>
      <x v="2"/>
    </i>
    <i t="grand">
      <x/>
    </i>
  </rowItems>
  <colItems count="1">
    <i/>
  </colItems>
  <dataFields count="1">
    <dataField name="Sum of Profit"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919D0B-B6A2-4B43-9C9C-CEBF3B0A47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4:L7" firstHeaderRow="0" firstDataRow="1" firstDataCol="1"/>
  <pivotFields count="15">
    <pivotField showAll="0"/>
    <pivotField numFmtId="14" showAll="0"/>
    <pivotField showAll="0"/>
    <pivotField showAll="0"/>
    <pivotField showAll="0"/>
    <pivotField showAll="0"/>
    <pivotField dataField="1" showAll="0"/>
    <pivotField showAll="0"/>
    <pivotField dataField="1" showAll="0"/>
    <pivotField numFmtId="164" showAll="0"/>
    <pivotField axis="axisRow" showAll="0">
      <items count="3">
        <item x="1"/>
        <item x="0"/>
        <item t="default"/>
      </items>
    </pivotField>
    <pivotField showAll="0"/>
    <pivotField showAll="0"/>
    <pivotField showAll="0"/>
    <pivotField showAll="0"/>
  </pivotFields>
  <rowFields count="1">
    <field x="10"/>
  </rowFields>
  <rowItems count="3">
    <i>
      <x/>
    </i>
    <i>
      <x v="1"/>
    </i>
    <i t="grand">
      <x/>
    </i>
  </rowItems>
  <colFields count="1">
    <field x="-2"/>
  </colFields>
  <colItems count="2">
    <i>
      <x/>
    </i>
    <i i="1">
      <x v="1"/>
    </i>
  </colItems>
  <dataFields count="2">
    <dataField name="Sum of Revenue" fld="6" baseField="0" baseItem="0"/>
    <dataField name="Sum of Profit" fld="8"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1DC63D0-2263-410B-8C79-D1167643F883}" name="Employees" displayName="Employees" ref="A1:C5" totalsRowShown="0" headerRowDxfId="42" dataDxfId="41">
  <autoFilter ref="A1:C5" xr:uid="{A1DC63D0-2263-410B-8C79-D1167643F883}"/>
  <tableColumns count="3">
    <tableColumn id="1" xr3:uid="{372770A0-C7E5-4B48-A681-2B40877E38D2}" name="Employee" dataDxfId="40"/>
    <tableColumn id="2" xr3:uid="{BC57C292-81A7-4B9A-A0A6-CA6BA3DB5CB4}" name="Hourly Rate" dataDxfId="39"/>
    <tableColumn id="3" xr3:uid="{6C097EC0-D38F-4898-BDD0-94B7809D25DB}" name="Store" dataDxfId="3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FB9ED6-A3E3-4BED-9053-9E4F4D135730}" name="Products" displayName="Products" ref="A1:D4" totalsRowShown="0" headerRowDxfId="37" dataDxfId="36">
  <autoFilter ref="A1:D4" xr:uid="{C0FB9ED6-A3E3-4BED-9053-9E4F4D135730}"/>
  <tableColumns count="4">
    <tableColumn id="1" xr3:uid="{998F8DB8-ADA5-48C7-93C6-A7AB5FF0B8D6}" name="ProductID" dataDxfId="35"/>
    <tableColumn id="2" xr3:uid="{327F1663-19BB-40B3-BC26-9FAD062B260F}" name="Product" dataDxfId="34"/>
    <tableColumn id="3" xr3:uid="{2E90588C-F374-4EB6-B786-0BAE4F34002F}" name="Category" dataDxfId="33"/>
    <tableColumn id="4" xr3:uid="{14BD4F4E-BDF8-4D04-915E-14314E108DF8}" name="Cost" dataDxfId="3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C41E0E-1528-4363-8B7C-9A552DEDF738}" name="Orders" displayName="Orders" ref="A1:O12" totalsRowCount="1" headerRowDxfId="31" dataDxfId="30">
  <autoFilter ref="A1:O11" xr:uid="{4EC41E0E-1528-4363-8B7C-9A552DEDF738}"/>
  <tableColumns count="15">
    <tableColumn id="1" xr3:uid="{D6B2C03C-B5B5-4D00-BE4D-312B9A703D98}" name="OrderID" dataDxfId="29" totalsRowDxfId="28"/>
    <tableColumn id="2" xr3:uid="{6397C2B1-75F3-4DCD-8E3A-3DA926F752C1}" name="Date" dataDxfId="27" totalsRowDxfId="26"/>
    <tableColumn id="3" xr3:uid="{EF168BD4-F604-41C7-A513-930F023274C6}" name="Store" dataDxfId="25" totalsRowDxfId="24"/>
    <tableColumn id="4" xr3:uid="{B4D02506-EF81-4910-92BB-D5921523CE68}" name="Employee" dataDxfId="23" totalsRowDxfId="22"/>
    <tableColumn id="5" xr3:uid="{97ACDAC2-6D6D-4148-BFE3-853C05909573}" name="ProductID" dataDxfId="21" totalsRowDxfId="20"/>
    <tableColumn id="6" xr3:uid="{0BEF93A4-A8E0-4F62-9A12-B02C5216A21C}" name="Units" totalsRowFunction="sum" dataDxfId="19" totalsRowDxfId="18"/>
    <tableColumn id="7" xr3:uid="{4263D992-E396-4197-9BA5-2F67851AAB06}" name="Revenue" totalsRowFunction="sum" dataDxfId="17" totalsRowDxfId="16"/>
    <tableColumn id="8" xr3:uid="{4541E599-B262-4A1E-AA30-B663E999EFF3}" name="Discount" totalsRowFunction="sum" dataDxfId="15" totalsRowDxfId="14"/>
    <tableColumn id="14" xr3:uid="{F2E98AB2-7551-4334-99BB-8A112E80A391}" name="Profit" totalsRowFunction="sum" dataDxfId="13" totalsRowDxfId="12">
      <calculatedColumnFormula>Orders[[#This Row],[Revenue]]-(Orders[[#This Row],[Units]]*Orders[[#This Row],[Cost]])-Orders[[#This Row],[Discount]]</calculatedColumnFormula>
    </tableColumn>
    <tableColumn id="15" xr3:uid="{A7127FC3-342F-42C0-90E0-E9F248E5C77E}" name="Profit Margin" dataDxfId="11" totalsRowDxfId="10">
      <calculatedColumnFormula>Orders[[#This Row],[Profit]]/Orders[[#This Row],[Revenue]]</calculatedColumnFormula>
    </tableColumn>
    <tableColumn id="16" xr3:uid="{CC0FDAAD-17CF-4B82-A47D-994BE65625DD}" name="Discount Flag" dataDxfId="9" totalsRowDxfId="8">
      <calculatedColumnFormula>IF(Orders[[#This Row],[Discount]]&gt;0,"Discounted","Full Price")</calculatedColumnFormula>
    </tableColumn>
    <tableColumn id="10" xr3:uid="{2E8C14D4-6E40-499B-BC78-63ED5F61A81C}" name="Product Name" dataDxfId="7" totalsRowDxfId="6">
      <calculatedColumnFormula>_xlfn.XLOOKUP(Orders[[#This Row],[ProductID]],Products[ProductID],Products[Product])</calculatedColumnFormula>
    </tableColumn>
    <tableColumn id="11" xr3:uid="{2EF183C4-32BD-4102-91AD-269D6EBC7268}" name="Category" dataDxfId="5" totalsRowDxfId="4">
      <calculatedColumnFormula>_xlfn.XLOOKUP(Orders[[#This Row],[ProductID]],Products[ProductID],Products[Category])</calculatedColumnFormula>
    </tableColumn>
    <tableColumn id="12" xr3:uid="{ABF3B234-637B-41A7-9CF0-DC122A43B14A}" name="Cost" totalsRowFunction="sum" dataDxfId="3" totalsRowDxfId="2">
      <calculatedColumnFormula>_xlfn.XLOOKUP(Orders[[#This Row],[ProductID]],Products[ProductID],Products[Cost])</calculatedColumnFormula>
    </tableColumn>
    <tableColumn id="13" xr3:uid="{812665CA-DB2B-4F33-ADD6-467222FC5F87}" name="Employee Hourly Rate" dataDxfId="1" totalsRowDxfId="0">
      <calculatedColumnFormula>_xlfn.XLOOKUP(Orders[[#This Row],[Employee]],Employees[Employee],Employees[Hourly Rate])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F1B0F-C951-49DC-85BC-3D636D4E4020}">
  <dimension ref="A5:H6"/>
  <sheetViews>
    <sheetView showGridLines="0" topLeftCell="B1" workbookViewId="0">
      <selection activeCell="F6" sqref="F6"/>
    </sheetView>
  </sheetViews>
  <sheetFormatPr defaultRowHeight="14.25" x14ac:dyDescent="0.45"/>
  <cols>
    <col min="1" max="1" width="9.06640625" hidden="1" customWidth="1"/>
    <col min="2" max="2" width="52.86328125" bestFit="1" customWidth="1"/>
    <col min="3" max="3" width="4.59765625" customWidth="1"/>
    <col min="4" max="4" width="41.46484375" bestFit="1" customWidth="1"/>
    <col min="5" max="5" width="6" customWidth="1"/>
    <col min="6" max="6" width="48.9296875" bestFit="1" customWidth="1"/>
    <col min="7" max="7" width="5.33203125" customWidth="1"/>
    <col min="8" max="8" width="77.796875" bestFit="1" customWidth="1"/>
  </cols>
  <sheetData>
    <row r="5" spans="2:8" ht="62.25" x14ac:dyDescent="1.85">
      <c r="B5" s="8" t="s">
        <v>43</v>
      </c>
      <c r="D5" s="8" t="s">
        <v>44</v>
      </c>
      <c r="E5" s="9"/>
      <c r="F5" s="8" t="s">
        <v>45</v>
      </c>
      <c r="G5" s="9"/>
      <c r="H5" s="8" t="s">
        <v>46</v>
      </c>
    </row>
    <row r="6" spans="2:8" ht="62.25" x14ac:dyDescent="1.85">
      <c r="B6" s="10">
        <f>SUM(Orders[Revenue])</f>
        <v>5100</v>
      </c>
      <c r="C6" s="9"/>
      <c r="D6" s="10">
        <f>SUM(Orders[Profit])</f>
        <v>1950</v>
      </c>
      <c r="E6" s="9"/>
      <c r="F6" s="10">
        <f>AVERAGE(Orders[Profit Margin])</f>
        <v>0.4</v>
      </c>
      <c r="G6" s="9"/>
      <c r="H6" s="10">
        <f>COUNTIF(Orders[Discount Flag],"Discounted")/COUNT(Orders[OrderID])</f>
        <v>0.4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AC3FC-C684-4F74-B453-05028E9D4885}">
  <dimension ref="A3:L9"/>
  <sheetViews>
    <sheetView showGridLines="0" workbookViewId="0">
      <selection activeCell="K5" sqref="K5"/>
    </sheetView>
  </sheetViews>
  <sheetFormatPr defaultRowHeight="14.25" x14ac:dyDescent="0.45"/>
  <cols>
    <col min="1" max="1" width="11.9296875" bestFit="1" customWidth="1"/>
    <col min="2" max="2" width="11" bestFit="1" customWidth="1"/>
    <col min="4" max="4" width="11.9296875" bestFit="1" customWidth="1"/>
    <col min="5" max="5" width="11" bestFit="1" customWidth="1"/>
    <col min="7" max="7" width="11.9296875" bestFit="1" customWidth="1"/>
    <col min="8" max="8" width="11" bestFit="1" customWidth="1"/>
    <col min="10" max="10" width="11.9296875" bestFit="1" customWidth="1"/>
    <col min="11" max="11" width="13.6640625" bestFit="1" customWidth="1"/>
    <col min="12" max="12" width="11" bestFit="1" customWidth="1"/>
  </cols>
  <sheetData>
    <row r="3" spans="1:12" x14ac:dyDescent="0.45">
      <c r="A3" s="4" t="s">
        <v>36</v>
      </c>
      <c r="D3" s="4" t="s">
        <v>37</v>
      </c>
      <c r="G3" s="4" t="s">
        <v>38</v>
      </c>
      <c r="J3" s="4" t="s">
        <v>39</v>
      </c>
    </row>
    <row r="4" spans="1:12" x14ac:dyDescent="0.45">
      <c r="A4" s="6" t="s">
        <v>33</v>
      </c>
      <c r="B4" t="s">
        <v>35</v>
      </c>
      <c r="D4" s="6" t="s">
        <v>33</v>
      </c>
      <c r="E4" t="s">
        <v>35</v>
      </c>
      <c r="G4" s="6" t="s">
        <v>33</v>
      </c>
      <c r="H4" t="s">
        <v>35</v>
      </c>
      <c r="J4" s="6" t="s">
        <v>33</v>
      </c>
      <c r="K4" t="s">
        <v>42</v>
      </c>
      <c r="L4" t="s">
        <v>35</v>
      </c>
    </row>
    <row r="5" spans="1:12" x14ac:dyDescent="0.45">
      <c r="A5" s="7" t="s">
        <v>15</v>
      </c>
      <c r="B5">
        <v>900</v>
      </c>
      <c r="D5" s="7" t="s">
        <v>16</v>
      </c>
      <c r="E5">
        <v>750</v>
      </c>
      <c r="G5" s="7" t="s">
        <v>26</v>
      </c>
      <c r="H5">
        <v>1100</v>
      </c>
      <c r="J5" s="7" t="s">
        <v>40</v>
      </c>
      <c r="K5">
        <v>2550</v>
      </c>
      <c r="L5">
        <v>1000</v>
      </c>
    </row>
    <row r="6" spans="1:12" x14ac:dyDescent="0.45">
      <c r="A6" s="7" t="s">
        <v>8</v>
      </c>
      <c r="B6">
        <v>550</v>
      </c>
      <c r="D6" s="7" t="s">
        <v>14</v>
      </c>
      <c r="E6">
        <v>550</v>
      </c>
      <c r="G6" s="7" t="s">
        <v>23</v>
      </c>
      <c r="H6">
        <v>850</v>
      </c>
      <c r="J6" s="7" t="s">
        <v>41</v>
      </c>
      <c r="K6">
        <v>2550</v>
      </c>
      <c r="L6">
        <v>950</v>
      </c>
    </row>
    <row r="7" spans="1:12" x14ac:dyDescent="0.45">
      <c r="A7" s="7" t="s">
        <v>13</v>
      </c>
      <c r="B7">
        <v>300</v>
      </c>
      <c r="D7" s="7" t="s">
        <v>9</v>
      </c>
      <c r="E7">
        <v>400</v>
      </c>
      <c r="G7" s="7" t="s">
        <v>34</v>
      </c>
      <c r="H7">
        <v>1950</v>
      </c>
      <c r="J7" s="7" t="s">
        <v>34</v>
      </c>
      <c r="K7">
        <v>5100</v>
      </c>
      <c r="L7">
        <v>1950</v>
      </c>
    </row>
    <row r="8" spans="1:12" x14ac:dyDescent="0.45">
      <c r="A8" s="7" t="s">
        <v>18</v>
      </c>
      <c r="B8">
        <v>200</v>
      </c>
      <c r="D8" s="7" t="s">
        <v>11</v>
      </c>
      <c r="E8">
        <v>250</v>
      </c>
    </row>
    <row r="9" spans="1:12" x14ac:dyDescent="0.45">
      <c r="A9" s="7" t="s">
        <v>34</v>
      </c>
      <c r="B9">
        <v>1950</v>
      </c>
      <c r="D9" s="7" t="s">
        <v>34</v>
      </c>
      <c r="E9">
        <v>1950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ED277-F131-4F40-80FA-6FC6047AD8CB}">
  <dimension ref="A1:C5"/>
  <sheetViews>
    <sheetView workbookViewId="0">
      <selection activeCell="E6" sqref="E6"/>
    </sheetView>
  </sheetViews>
  <sheetFormatPr defaultRowHeight="14.25" x14ac:dyDescent="0.45"/>
  <cols>
    <col min="1" max="1" width="13.06640625" bestFit="1" customWidth="1"/>
    <col min="2" max="2" width="14.46484375" bestFit="1" customWidth="1"/>
    <col min="3" max="3" width="9.46484375" bestFit="1" customWidth="1"/>
  </cols>
  <sheetData>
    <row r="1" spans="1:3" ht="28.5" x14ac:dyDescent="0.45">
      <c r="A1" s="1" t="s">
        <v>3</v>
      </c>
      <c r="B1" s="1" t="s">
        <v>27</v>
      </c>
      <c r="C1" s="1" t="s">
        <v>2</v>
      </c>
    </row>
    <row r="2" spans="1:3" x14ac:dyDescent="0.45">
      <c r="A2" s="2" t="s">
        <v>9</v>
      </c>
      <c r="B2" s="2">
        <v>25</v>
      </c>
      <c r="C2" s="2" t="s">
        <v>8</v>
      </c>
    </row>
    <row r="3" spans="1:3" x14ac:dyDescent="0.45">
      <c r="A3" s="2" t="s">
        <v>14</v>
      </c>
      <c r="B3" s="2">
        <v>22</v>
      </c>
      <c r="C3" s="2" t="s">
        <v>13</v>
      </c>
    </row>
    <row r="4" spans="1:3" x14ac:dyDescent="0.45">
      <c r="A4" s="2" t="s">
        <v>11</v>
      </c>
      <c r="B4" s="2">
        <v>28</v>
      </c>
      <c r="C4" s="2" t="s">
        <v>8</v>
      </c>
    </row>
    <row r="5" spans="1:3" x14ac:dyDescent="0.45">
      <c r="A5" s="2" t="s">
        <v>16</v>
      </c>
      <c r="B5" s="2">
        <v>20</v>
      </c>
      <c r="C5" s="2" t="s">
        <v>18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A9F76-244F-476B-B03F-105811A10DFF}">
  <dimension ref="A1:D4"/>
  <sheetViews>
    <sheetView topLeftCell="H1" workbookViewId="0">
      <selection activeCell="E8" sqref="E8"/>
    </sheetView>
  </sheetViews>
  <sheetFormatPr defaultRowHeight="14.25" x14ac:dyDescent="0.45"/>
  <cols>
    <col min="1" max="1" width="13.1328125" bestFit="1" customWidth="1"/>
    <col min="2" max="2" width="11.3984375" bestFit="1" customWidth="1"/>
    <col min="3" max="3" width="12.265625" bestFit="1" customWidth="1"/>
    <col min="4" max="4" width="8.796875" bestFit="1" customWidth="1"/>
  </cols>
  <sheetData>
    <row r="1" spans="1:4" x14ac:dyDescent="0.45">
      <c r="A1" s="1" t="s">
        <v>4</v>
      </c>
      <c r="B1" s="1" t="s">
        <v>19</v>
      </c>
      <c r="C1" s="1" t="s">
        <v>20</v>
      </c>
      <c r="D1" s="1" t="s">
        <v>21</v>
      </c>
    </row>
    <row r="2" spans="1:4" ht="28.5" x14ac:dyDescent="0.45">
      <c r="A2" s="2" t="s">
        <v>10</v>
      </c>
      <c r="B2" s="2" t="s">
        <v>22</v>
      </c>
      <c r="C2" s="2" t="s">
        <v>23</v>
      </c>
      <c r="D2" s="2">
        <v>200</v>
      </c>
    </row>
    <row r="3" spans="1:4" ht="28.5" x14ac:dyDescent="0.45">
      <c r="A3" s="2" t="s">
        <v>12</v>
      </c>
      <c r="B3" s="2" t="s">
        <v>24</v>
      </c>
      <c r="C3" s="2" t="s">
        <v>23</v>
      </c>
      <c r="D3" s="2">
        <v>350</v>
      </c>
    </row>
    <row r="4" spans="1:4" ht="28.5" x14ac:dyDescent="0.45">
      <c r="A4" s="2" t="s">
        <v>17</v>
      </c>
      <c r="B4" s="2" t="s">
        <v>25</v>
      </c>
      <c r="C4" s="2" t="s">
        <v>26</v>
      </c>
      <c r="D4" s="2">
        <v>50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47864-33EB-4FB8-9BDD-8E1028CCCFB3}">
  <dimension ref="A1:O12"/>
  <sheetViews>
    <sheetView workbookViewId="0">
      <selection activeCell="M3" sqref="M3"/>
    </sheetView>
  </sheetViews>
  <sheetFormatPr defaultColWidth="11.53125" defaultRowHeight="14.25" x14ac:dyDescent="0.45"/>
  <cols>
    <col min="1" max="1" width="11.46484375" bestFit="1" customWidth="1"/>
    <col min="2" max="2" width="8.86328125" bestFit="1" customWidth="1"/>
    <col min="3" max="3" width="9.46484375" bestFit="1" customWidth="1"/>
    <col min="4" max="4" width="13.06640625" bestFit="1" customWidth="1"/>
    <col min="5" max="5" width="13.1328125" bestFit="1" customWidth="1"/>
    <col min="6" max="6" width="9.265625" bestFit="1" customWidth="1"/>
    <col min="7" max="7" width="12.1328125" bestFit="1" customWidth="1"/>
    <col min="8" max="8" width="12.19921875" bestFit="1" customWidth="1"/>
    <col min="9" max="9" width="9.53125" bestFit="1" customWidth="1"/>
    <col min="10" max="10" width="15.19921875" bestFit="1" customWidth="1"/>
    <col min="11" max="11" width="15.796875" bestFit="1" customWidth="1"/>
    <col min="12" max="12" width="11.3984375" bestFit="1" customWidth="1"/>
    <col min="13" max="13" width="12.265625" bestFit="1" customWidth="1"/>
    <col min="14" max="14" width="8.796875" bestFit="1" customWidth="1"/>
    <col min="15" max="15" width="18.796875" bestFit="1" customWidth="1"/>
  </cols>
  <sheetData>
    <row r="1" spans="1:15" ht="28.5" x14ac:dyDescent="0.45">
      <c r="A1" s="1" t="s">
        <v>0</v>
      </c>
      <c r="B1" s="1" t="s">
        <v>1</v>
      </c>
      <c r="C1" s="1" t="s">
        <v>2</v>
      </c>
      <c r="D1" s="1" t="s">
        <v>3</v>
      </c>
      <c r="E1" s="1" t="s">
        <v>4</v>
      </c>
      <c r="F1" s="1" t="s">
        <v>5</v>
      </c>
      <c r="G1" s="1" t="s">
        <v>6</v>
      </c>
      <c r="H1" s="1" t="s">
        <v>7</v>
      </c>
      <c r="I1" s="1" t="s">
        <v>30</v>
      </c>
      <c r="J1" s="1" t="s">
        <v>31</v>
      </c>
      <c r="K1" s="1" t="s">
        <v>32</v>
      </c>
      <c r="L1" s="1" t="s">
        <v>28</v>
      </c>
      <c r="M1" s="1" t="s">
        <v>20</v>
      </c>
      <c r="N1" s="1" t="s">
        <v>21</v>
      </c>
      <c r="O1" s="1" t="s">
        <v>29</v>
      </c>
    </row>
    <row r="2" spans="1:15" x14ac:dyDescent="0.45">
      <c r="A2" s="2">
        <v>2001</v>
      </c>
      <c r="B2" s="3">
        <v>45352</v>
      </c>
      <c r="C2" s="2" t="s">
        <v>8</v>
      </c>
      <c r="D2" s="2" t="s">
        <v>9</v>
      </c>
      <c r="E2" s="2" t="s">
        <v>10</v>
      </c>
      <c r="F2" s="2">
        <v>2</v>
      </c>
      <c r="G2" s="2">
        <v>600</v>
      </c>
      <c r="H2" s="2">
        <v>0</v>
      </c>
      <c r="I2" s="2">
        <f>Orders[[#This Row],[Revenue]]-(Orders[[#This Row],[Units]]*Orders[[#This Row],[Cost]])-Orders[[#This Row],[Discount]]</f>
        <v>200</v>
      </c>
      <c r="J2" s="5">
        <f>Orders[[#This Row],[Profit]]/Orders[[#This Row],[Revenue]]</f>
        <v>0.33333333333333331</v>
      </c>
      <c r="K2" s="5" t="str">
        <f>IF(Orders[[#This Row],[Discount]]&gt;0,"Discounted","Full Price")</f>
        <v>Full Price</v>
      </c>
      <c r="L2" s="2" t="str">
        <f>_xlfn.XLOOKUP(Orders[[#This Row],[ProductID]],Products[ProductID],Products[Product])</f>
        <v>Phone</v>
      </c>
      <c r="M2" s="2" t="str">
        <f>_xlfn.XLOOKUP(Orders[[#This Row],[ProductID]],Products[ProductID],Products[Category])</f>
        <v>Electronics</v>
      </c>
      <c r="N2" s="2">
        <f>_xlfn.XLOOKUP(Orders[[#This Row],[ProductID]],Products[ProductID],Products[Cost])</f>
        <v>200</v>
      </c>
      <c r="O2" s="2">
        <f>_xlfn.XLOOKUP(Orders[[#This Row],[Employee]],Employees[Employee],Employees[Hourly Rate])</f>
        <v>25</v>
      </c>
    </row>
    <row r="3" spans="1:15" x14ac:dyDescent="0.45">
      <c r="A3" s="2">
        <v>2002</v>
      </c>
      <c r="B3" s="3">
        <v>45352</v>
      </c>
      <c r="C3" s="2" t="s">
        <v>8</v>
      </c>
      <c r="D3" s="2" t="s">
        <v>11</v>
      </c>
      <c r="E3" s="2" t="s">
        <v>12</v>
      </c>
      <c r="F3" s="2">
        <v>1</v>
      </c>
      <c r="G3" s="2">
        <v>450</v>
      </c>
      <c r="H3" s="2">
        <v>50</v>
      </c>
      <c r="I3" s="2">
        <f>Orders[[#This Row],[Revenue]]-(Orders[[#This Row],[Units]]*Orders[[#This Row],[Cost]])-Orders[[#This Row],[Discount]]</f>
        <v>50</v>
      </c>
      <c r="J3" s="5">
        <f>Orders[[#This Row],[Profit]]/Orders[[#This Row],[Revenue]]</f>
        <v>0.1111111111111111</v>
      </c>
      <c r="K3" s="5" t="str">
        <f>IF(Orders[[#This Row],[Discount]]&gt;0,"Discounted","Full Price")</f>
        <v>Discounted</v>
      </c>
      <c r="L3" s="2" t="str">
        <f>_xlfn.XLOOKUP(Orders[[#This Row],[ProductID]],Products[ProductID],Products[Product])</f>
        <v>Laptop</v>
      </c>
      <c r="M3" s="2" t="str">
        <f>_xlfn.XLOOKUP(Orders[[#This Row],[ProductID]],Products[ProductID],Products[Category])</f>
        <v>Electronics</v>
      </c>
      <c r="N3" s="2">
        <f>_xlfn.XLOOKUP(Orders[[#This Row],[ProductID]],Products[ProductID],Products[Cost])</f>
        <v>350</v>
      </c>
      <c r="O3" s="2">
        <f>_xlfn.XLOOKUP(Orders[[#This Row],[Employee]],Employees[Employee],Employees[Hourly Rate])</f>
        <v>28</v>
      </c>
    </row>
    <row r="4" spans="1:15" x14ac:dyDescent="0.45">
      <c r="A4" s="2">
        <v>2003</v>
      </c>
      <c r="B4" s="3">
        <v>45353</v>
      </c>
      <c r="C4" s="2" t="s">
        <v>13</v>
      </c>
      <c r="D4" s="2" t="s">
        <v>14</v>
      </c>
      <c r="E4" s="2" t="s">
        <v>10</v>
      </c>
      <c r="F4" s="2">
        <v>1</v>
      </c>
      <c r="G4" s="2">
        <v>300</v>
      </c>
      <c r="H4" s="2">
        <v>0</v>
      </c>
      <c r="I4" s="2">
        <f>Orders[[#This Row],[Revenue]]-(Orders[[#This Row],[Units]]*Orders[[#This Row],[Cost]])-Orders[[#This Row],[Discount]]</f>
        <v>100</v>
      </c>
      <c r="J4" s="5">
        <f>Orders[[#This Row],[Profit]]/Orders[[#This Row],[Revenue]]</f>
        <v>0.33333333333333331</v>
      </c>
      <c r="K4" s="5" t="str">
        <f>IF(Orders[[#This Row],[Discount]]&gt;0,"Discounted","Full Price")</f>
        <v>Full Price</v>
      </c>
      <c r="L4" s="2" t="str">
        <f>_xlfn.XLOOKUP(Orders[[#This Row],[ProductID]],Products[ProductID],Products[Product])</f>
        <v>Phone</v>
      </c>
      <c r="M4" s="2" t="str">
        <f>_xlfn.XLOOKUP(Orders[[#This Row],[ProductID]],Products[ProductID],Products[Category])</f>
        <v>Electronics</v>
      </c>
      <c r="N4" s="2">
        <f>_xlfn.XLOOKUP(Orders[[#This Row],[ProductID]],Products[ProductID],Products[Cost])</f>
        <v>200</v>
      </c>
      <c r="O4" s="2">
        <f>_xlfn.XLOOKUP(Orders[[#This Row],[Employee]],Employees[Employee],Employees[Hourly Rate])</f>
        <v>22</v>
      </c>
    </row>
    <row r="5" spans="1:15" x14ac:dyDescent="0.45">
      <c r="A5" s="2">
        <v>2004</v>
      </c>
      <c r="B5" s="3">
        <v>45353</v>
      </c>
      <c r="C5" s="2" t="s">
        <v>15</v>
      </c>
      <c r="D5" s="2" t="s">
        <v>16</v>
      </c>
      <c r="E5" s="2" t="s">
        <v>17</v>
      </c>
      <c r="F5" s="2">
        <v>3</v>
      </c>
      <c r="G5" s="2">
        <v>900</v>
      </c>
      <c r="H5" s="2">
        <v>100</v>
      </c>
      <c r="I5" s="2">
        <f>Orders[[#This Row],[Revenue]]-(Orders[[#This Row],[Units]]*Orders[[#This Row],[Cost]])-Orders[[#This Row],[Discount]]</f>
        <v>650</v>
      </c>
      <c r="J5" s="5">
        <f>Orders[[#This Row],[Profit]]/Orders[[#This Row],[Revenue]]</f>
        <v>0.72222222222222221</v>
      </c>
      <c r="K5" s="5" t="str">
        <f>IF(Orders[[#This Row],[Discount]]&gt;0,"Discounted","Full Price")</f>
        <v>Discounted</v>
      </c>
      <c r="L5" s="2" t="str">
        <f>_xlfn.XLOOKUP(Orders[[#This Row],[ProductID]],Products[ProductID],Products[Product])</f>
        <v>Accessories</v>
      </c>
      <c r="M5" s="2" t="str">
        <f>_xlfn.XLOOKUP(Orders[[#This Row],[ProductID]],Products[ProductID],Products[Category])</f>
        <v>Add-ons</v>
      </c>
      <c r="N5" s="2">
        <f>_xlfn.XLOOKUP(Orders[[#This Row],[ProductID]],Products[ProductID],Products[Cost])</f>
        <v>50</v>
      </c>
      <c r="O5" s="2">
        <f>_xlfn.XLOOKUP(Orders[[#This Row],[Employee]],Employees[Employee],Employees[Hourly Rate])</f>
        <v>20</v>
      </c>
    </row>
    <row r="6" spans="1:15" x14ac:dyDescent="0.45">
      <c r="A6" s="2">
        <v>2005</v>
      </c>
      <c r="B6" s="3">
        <v>45354</v>
      </c>
      <c r="C6" s="2" t="s">
        <v>18</v>
      </c>
      <c r="D6" s="2" t="s">
        <v>9</v>
      </c>
      <c r="E6" s="2" t="s">
        <v>12</v>
      </c>
      <c r="F6" s="2">
        <v>1</v>
      </c>
      <c r="G6" s="2">
        <v>450</v>
      </c>
      <c r="H6" s="2">
        <v>0</v>
      </c>
      <c r="I6" s="2">
        <f>Orders[[#This Row],[Revenue]]-(Orders[[#This Row],[Units]]*Orders[[#This Row],[Cost]])-Orders[[#This Row],[Discount]]</f>
        <v>100</v>
      </c>
      <c r="J6" s="5">
        <f>Orders[[#This Row],[Profit]]/Orders[[#This Row],[Revenue]]</f>
        <v>0.22222222222222221</v>
      </c>
      <c r="K6" s="5" t="str">
        <f>IF(Orders[[#This Row],[Discount]]&gt;0,"Discounted","Full Price")</f>
        <v>Full Price</v>
      </c>
      <c r="L6" s="2" t="str">
        <f>_xlfn.XLOOKUP(Orders[[#This Row],[ProductID]],Products[ProductID],Products[Product])</f>
        <v>Laptop</v>
      </c>
      <c r="M6" s="2" t="str">
        <f>_xlfn.XLOOKUP(Orders[[#This Row],[ProductID]],Products[ProductID],Products[Category])</f>
        <v>Electronics</v>
      </c>
      <c r="N6" s="2">
        <f>_xlfn.XLOOKUP(Orders[[#This Row],[ProductID]],Products[ProductID],Products[Cost])</f>
        <v>350</v>
      </c>
      <c r="O6" s="2">
        <f>_xlfn.XLOOKUP(Orders[[#This Row],[Employee]],Employees[Employee],Employees[Hourly Rate])</f>
        <v>25</v>
      </c>
    </row>
    <row r="7" spans="1:15" x14ac:dyDescent="0.45">
      <c r="A7" s="2">
        <v>2006</v>
      </c>
      <c r="B7" s="3">
        <v>45355</v>
      </c>
      <c r="C7" s="2" t="s">
        <v>8</v>
      </c>
      <c r="D7" s="2" t="s">
        <v>14</v>
      </c>
      <c r="E7" s="2" t="s">
        <v>10</v>
      </c>
      <c r="F7" s="2">
        <v>2</v>
      </c>
      <c r="G7" s="2">
        <v>600</v>
      </c>
      <c r="H7" s="2">
        <v>0</v>
      </c>
      <c r="I7" s="2">
        <f>Orders[[#This Row],[Revenue]]-(Orders[[#This Row],[Units]]*Orders[[#This Row],[Cost]])-Orders[[#This Row],[Discount]]</f>
        <v>200</v>
      </c>
      <c r="J7" s="5">
        <f>Orders[[#This Row],[Profit]]/Orders[[#This Row],[Revenue]]</f>
        <v>0.33333333333333331</v>
      </c>
      <c r="K7" s="5" t="str">
        <f>IF(Orders[[#This Row],[Discount]]&gt;0,"Discounted","Full Price")</f>
        <v>Full Price</v>
      </c>
      <c r="L7" s="2" t="str">
        <f>_xlfn.XLOOKUP(Orders[[#This Row],[ProductID]],Products[ProductID],Products[Product])</f>
        <v>Phone</v>
      </c>
      <c r="M7" s="2" t="str">
        <f>_xlfn.XLOOKUP(Orders[[#This Row],[ProductID]],Products[ProductID],Products[Category])</f>
        <v>Electronics</v>
      </c>
      <c r="N7" s="2">
        <f>_xlfn.XLOOKUP(Orders[[#This Row],[ProductID]],Products[ProductID],Products[Cost])</f>
        <v>200</v>
      </c>
      <c r="O7" s="2">
        <f>_xlfn.XLOOKUP(Orders[[#This Row],[Employee]],Employees[Employee],Employees[Hourly Rate])</f>
        <v>22</v>
      </c>
    </row>
    <row r="8" spans="1:15" x14ac:dyDescent="0.45">
      <c r="A8" s="2">
        <v>2007</v>
      </c>
      <c r="B8" s="3">
        <v>45356</v>
      </c>
      <c r="C8" s="2" t="s">
        <v>13</v>
      </c>
      <c r="D8" s="2" t="s">
        <v>11</v>
      </c>
      <c r="E8" s="2" t="s">
        <v>17</v>
      </c>
      <c r="F8" s="2">
        <v>1</v>
      </c>
      <c r="G8" s="2">
        <v>300</v>
      </c>
      <c r="H8" s="2">
        <v>50</v>
      </c>
      <c r="I8" s="2">
        <f>Orders[[#This Row],[Revenue]]-(Orders[[#This Row],[Units]]*Orders[[#This Row],[Cost]])-Orders[[#This Row],[Discount]]</f>
        <v>200</v>
      </c>
      <c r="J8" s="5">
        <f>Orders[[#This Row],[Profit]]/Orders[[#This Row],[Revenue]]</f>
        <v>0.66666666666666663</v>
      </c>
      <c r="K8" s="5" t="str">
        <f>IF(Orders[[#This Row],[Discount]]&gt;0,"Discounted","Full Price")</f>
        <v>Discounted</v>
      </c>
      <c r="L8" s="2" t="str">
        <f>_xlfn.XLOOKUP(Orders[[#This Row],[ProductID]],Products[ProductID],Products[Product])</f>
        <v>Accessories</v>
      </c>
      <c r="M8" s="2" t="str">
        <f>_xlfn.XLOOKUP(Orders[[#This Row],[ProductID]],Products[ProductID],Products[Category])</f>
        <v>Add-ons</v>
      </c>
      <c r="N8" s="2">
        <f>_xlfn.XLOOKUP(Orders[[#This Row],[ProductID]],Products[ProductID],Products[Cost])</f>
        <v>50</v>
      </c>
      <c r="O8" s="2">
        <f>_xlfn.XLOOKUP(Orders[[#This Row],[Employee]],Employees[Employee],Employees[Hourly Rate])</f>
        <v>28</v>
      </c>
    </row>
    <row r="9" spans="1:15" x14ac:dyDescent="0.45">
      <c r="A9" s="2">
        <v>2008</v>
      </c>
      <c r="B9" s="3">
        <v>45356</v>
      </c>
      <c r="C9" s="2" t="s">
        <v>18</v>
      </c>
      <c r="D9" s="2" t="s">
        <v>16</v>
      </c>
      <c r="E9" s="2" t="s">
        <v>10</v>
      </c>
      <c r="F9" s="2">
        <v>1</v>
      </c>
      <c r="G9" s="2">
        <v>300</v>
      </c>
      <c r="H9" s="2">
        <v>0</v>
      </c>
      <c r="I9" s="2">
        <f>Orders[[#This Row],[Revenue]]-(Orders[[#This Row],[Units]]*Orders[[#This Row],[Cost]])-Orders[[#This Row],[Discount]]</f>
        <v>100</v>
      </c>
      <c r="J9" s="5">
        <f>Orders[[#This Row],[Profit]]/Orders[[#This Row],[Revenue]]</f>
        <v>0.33333333333333331</v>
      </c>
      <c r="K9" s="5" t="str">
        <f>IF(Orders[[#This Row],[Discount]]&gt;0,"Discounted","Full Price")</f>
        <v>Full Price</v>
      </c>
      <c r="L9" s="2" t="str">
        <f>_xlfn.XLOOKUP(Orders[[#This Row],[ProductID]],Products[ProductID],Products[Product])</f>
        <v>Phone</v>
      </c>
      <c r="M9" s="2" t="str">
        <f>_xlfn.XLOOKUP(Orders[[#This Row],[ProductID]],Products[ProductID],Products[Category])</f>
        <v>Electronics</v>
      </c>
      <c r="N9" s="2">
        <f>_xlfn.XLOOKUP(Orders[[#This Row],[ProductID]],Products[ProductID],Products[Cost])</f>
        <v>200</v>
      </c>
      <c r="O9" s="2">
        <f>_xlfn.XLOOKUP(Orders[[#This Row],[Employee]],Employees[Employee],Employees[Hourly Rate])</f>
        <v>20</v>
      </c>
    </row>
    <row r="10" spans="1:15" x14ac:dyDescent="0.45">
      <c r="A10" s="2">
        <v>2009</v>
      </c>
      <c r="B10" s="3">
        <v>45357</v>
      </c>
      <c r="C10" s="2" t="s">
        <v>8</v>
      </c>
      <c r="D10" s="2" t="s">
        <v>9</v>
      </c>
      <c r="E10" s="2" t="s">
        <v>12</v>
      </c>
      <c r="F10" s="2">
        <v>2</v>
      </c>
      <c r="G10" s="2">
        <v>900</v>
      </c>
      <c r="H10" s="2">
        <v>100</v>
      </c>
      <c r="I10" s="2">
        <f>Orders[[#This Row],[Revenue]]-(Orders[[#This Row],[Units]]*Orders[[#This Row],[Cost]])-Orders[[#This Row],[Discount]]</f>
        <v>100</v>
      </c>
      <c r="J10" s="5">
        <f>Orders[[#This Row],[Profit]]/Orders[[#This Row],[Revenue]]</f>
        <v>0.1111111111111111</v>
      </c>
      <c r="K10" s="5" t="str">
        <f>IF(Orders[[#This Row],[Discount]]&gt;0,"Discounted","Full Price")</f>
        <v>Discounted</v>
      </c>
      <c r="L10" s="2" t="str">
        <f>_xlfn.XLOOKUP(Orders[[#This Row],[ProductID]],Products[ProductID],Products[Product])</f>
        <v>Laptop</v>
      </c>
      <c r="M10" s="2" t="str">
        <f>_xlfn.XLOOKUP(Orders[[#This Row],[ProductID]],Products[ProductID],Products[Category])</f>
        <v>Electronics</v>
      </c>
      <c r="N10" s="2">
        <f>_xlfn.XLOOKUP(Orders[[#This Row],[ProductID]],Products[ProductID],Products[Cost])</f>
        <v>350</v>
      </c>
      <c r="O10" s="2">
        <f>_xlfn.XLOOKUP(Orders[[#This Row],[Employee]],Employees[Employee],Employees[Hourly Rate])</f>
        <v>25</v>
      </c>
    </row>
    <row r="11" spans="1:15" x14ac:dyDescent="0.45">
      <c r="A11" s="2">
        <v>2010</v>
      </c>
      <c r="B11" s="3">
        <v>45358</v>
      </c>
      <c r="C11" s="2" t="s">
        <v>15</v>
      </c>
      <c r="D11" s="2" t="s">
        <v>14</v>
      </c>
      <c r="E11" s="2" t="s">
        <v>17</v>
      </c>
      <c r="F11" s="2">
        <v>1</v>
      </c>
      <c r="G11" s="2">
        <v>300</v>
      </c>
      <c r="H11" s="2">
        <v>0</v>
      </c>
      <c r="I11" s="2">
        <f>Orders[[#This Row],[Revenue]]-(Orders[[#This Row],[Units]]*Orders[[#This Row],[Cost]])-Orders[[#This Row],[Discount]]</f>
        <v>250</v>
      </c>
      <c r="J11" s="5">
        <f>Orders[[#This Row],[Profit]]/Orders[[#This Row],[Revenue]]</f>
        <v>0.83333333333333337</v>
      </c>
      <c r="K11" s="5" t="str">
        <f>IF(Orders[[#This Row],[Discount]]&gt;0,"Discounted","Full Price")</f>
        <v>Full Price</v>
      </c>
      <c r="L11" s="2" t="str">
        <f>_xlfn.XLOOKUP(Orders[[#This Row],[ProductID]],Products[ProductID],Products[Product])</f>
        <v>Accessories</v>
      </c>
      <c r="M11" s="2" t="str">
        <f>_xlfn.XLOOKUP(Orders[[#This Row],[ProductID]],Products[ProductID],Products[Category])</f>
        <v>Add-ons</v>
      </c>
      <c r="N11" s="2">
        <f>_xlfn.XLOOKUP(Orders[[#This Row],[ProductID]],Products[ProductID],Products[Cost])</f>
        <v>50</v>
      </c>
      <c r="O11" s="2">
        <f>_xlfn.XLOOKUP(Orders[[#This Row],[Employee]],Employees[Employee],Employees[Hourly Rate])</f>
        <v>22</v>
      </c>
    </row>
    <row r="12" spans="1:15" x14ac:dyDescent="0.45">
      <c r="A12" s="2"/>
      <c r="B12" s="3"/>
      <c r="C12" s="2"/>
      <c r="D12" s="2"/>
      <c r="E12" s="2"/>
      <c r="F12" s="2">
        <f>SUBTOTAL(109,Orders[Units])</f>
        <v>15</v>
      </c>
      <c r="G12" s="2">
        <f>SUBTOTAL(109,Orders[Revenue])</f>
        <v>5100</v>
      </c>
      <c r="H12" s="2">
        <f>SUBTOTAL(109,Orders[Discount])</f>
        <v>300</v>
      </c>
      <c r="I12" s="2">
        <f>SUBTOTAL(109,Orders[Profit])</f>
        <v>1950</v>
      </c>
      <c r="J12" s="2"/>
      <c r="K12" s="5"/>
      <c r="L12" s="2"/>
      <c r="M12" s="2"/>
      <c r="N12" s="2">
        <f>SUBTOTAL(109,Orders[Cost])</f>
        <v>2000</v>
      </c>
      <c r="O12"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285D7-1FA3-4DC6-8DC6-79715E41CA03}">
  <dimension ref="A1:C5"/>
  <sheetViews>
    <sheetView tabSelected="1" workbookViewId="0">
      <selection activeCell="B1" sqref="B1"/>
    </sheetView>
  </sheetViews>
  <sheetFormatPr defaultRowHeight="14.25" x14ac:dyDescent="0.45"/>
  <cols>
    <col min="1" max="1" width="8.6640625" bestFit="1" customWidth="1"/>
    <col min="2" max="2" width="8.73046875" bestFit="1" customWidth="1"/>
    <col min="3" max="3" width="5.33203125" bestFit="1" customWidth="1"/>
  </cols>
  <sheetData>
    <row r="1" spans="1:3" ht="28.5" x14ac:dyDescent="0.45">
      <c r="A1" s="1" t="s">
        <v>3</v>
      </c>
      <c r="B1" s="1" t="s">
        <v>27</v>
      </c>
      <c r="C1" s="1" t="s">
        <v>2</v>
      </c>
    </row>
    <row r="2" spans="1:3" x14ac:dyDescent="0.45">
      <c r="A2" s="2" t="s">
        <v>9</v>
      </c>
      <c r="B2" s="2">
        <v>25</v>
      </c>
      <c r="C2" s="2" t="s">
        <v>8</v>
      </c>
    </row>
    <row r="3" spans="1:3" x14ac:dyDescent="0.45">
      <c r="A3" s="2" t="s">
        <v>14</v>
      </c>
      <c r="B3" s="2">
        <v>22</v>
      </c>
      <c r="C3" s="2" t="s">
        <v>13</v>
      </c>
    </row>
    <row r="4" spans="1:3" x14ac:dyDescent="0.45">
      <c r="A4" s="2" t="s">
        <v>11</v>
      </c>
      <c r="B4" s="2">
        <v>28</v>
      </c>
      <c r="C4" s="2" t="s">
        <v>8</v>
      </c>
    </row>
    <row r="5" spans="1:3" x14ac:dyDescent="0.45">
      <c r="A5" s="2" t="s">
        <v>16</v>
      </c>
      <c r="B5" s="2">
        <v>20</v>
      </c>
      <c r="C5" s="2"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E9B57-E948-4321-9C48-C6DFE6B7F7DA}">
  <dimension ref="A1:D4"/>
  <sheetViews>
    <sheetView topLeftCell="B1" workbookViewId="0">
      <selection activeCell="D7" sqref="D7"/>
    </sheetView>
  </sheetViews>
  <sheetFormatPr defaultRowHeight="14.25" x14ac:dyDescent="0.45"/>
  <cols>
    <col min="1" max="1" width="8.73046875" bestFit="1" customWidth="1"/>
    <col min="2" max="2" width="8.33203125" bestFit="1" customWidth="1"/>
    <col min="3" max="3" width="8.6640625" bestFit="1" customWidth="1"/>
    <col min="4" max="4" width="4.3984375" bestFit="1" customWidth="1"/>
  </cols>
  <sheetData>
    <row r="1" spans="1:4" x14ac:dyDescent="0.45">
      <c r="A1" s="1" t="s">
        <v>4</v>
      </c>
      <c r="B1" s="1" t="s">
        <v>19</v>
      </c>
      <c r="C1" s="1" t="s">
        <v>20</v>
      </c>
      <c r="D1" s="1" t="s">
        <v>21</v>
      </c>
    </row>
    <row r="2" spans="1:4" ht="28.5" x14ac:dyDescent="0.45">
      <c r="A2" s="2" t="s">
        <v>10</v>
      </c>
      <c r="B2" s="2" t="s">
        <v>22</v>
      </c>
      <c r="C2" s="2" t="s">
        <v>23</v>
      </c>
      <c r="D2" s="2">
        <v>200</v>
      </c>
    </row>
    <row r="3" spans="1:4" ht="28.5" x14ac:dyDescent="0.45">
      <c r="A3" s="2" t="s">
        <v>12</v>
      </c>
      <c r="B3" s="2" t="s">
        <v>24</v>
      </c>
      <c r="C3" s="2" t="s">
        <v>23</v>
      </c>
      <c r="D3" s="2">
        <v>350</v>
      </c>
    </row>
    <row r="4" spans="1:4" ht="28.5" x14ac:dyDescent="0.45">
      <c r="A4" s="2" t="s">
        <v>17</v>
      </c>
      <c r="B4" s="2" t="s">
        <v>25</v>
      </c>
      <c r="C4" s="2" t="s">
        <v>26</v>
      </c>
      <c r="D4" s="2">
        <v>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81570-1DC9-4958-A63E-816298E0C0BB}">
  <dimension ref="A1:H11"/>
  <sheetViews>
    <sheetView topLeftCell="E1" workbookViewId="0">
      <selection activeCell="H16" sqref="H16"/>
    </sheetView>
  </sheetViews>
  <sheetFormatPr defaultRowHeight="14.25" x14ac:dyDescent="0.45"/>
  <sheetData>
    <row r="1" spans="1:8" x14ac:dyDescent="0.45">
      <c r="A1" s="1" t="s">
        <v>0</v>
      </c>
      <c r="B1" s="1" t="s">
        <v>1</v>
      </c>
      <c r="C1" s="1" t="s">
        <v>2</v>
      </c>
      <c r="D1" s="1" t="s">
        <v>3</v>
      </c>
      <c r="E1" s="1" t="s">
        <v>4</v>
      </c>
      <c r="F1" s="1" t="s">
        <v>5</v>
      </c>
      <c r="G1" s="1" t="s">
        <v>6</v>
      </c>
      <c r="H1" s="1" t="s">
        <v>7</v>
      </c>
    </row>
    <row r="2" spans="1:8" x14ac:dyDescent="0.45">
      <c r="A2" s="2">
        <v>2001</v>
      </c>
      <c r="B2" s="3">
        <v>45352</v>
      </c>
      <c r="C2" s="2" t="s">
        <v>8</v>
      </c>
      <c r="D2" s="2" t="s">
        <v>9</v>
      </c>
      <c r="E2" s="2" t="s">
        <v>10</v>
      </c>
      <c r="F2" s="2">
        <v>2</v>
      </c>
      <c r="G2" s="2">
        <v>600</v>
      </c>
      <c r="H2" s="2">
        <v>0</v>
      </c>
    </row>
    <row r="3" spans="1:8" x14ac:dyDescent="0.45">
      <c r="A3" s="2">
        <v>2002</v>
      </c>
      <c r="B3" s="3">
        <v>45352</v>
      </c>
      <c r="C3" s="2" t="s">
        <v>8</v>
      </c>
      <c r="D3" s="2" t="s">
        <v>11</v>
      </c>
      <c r="E3" s="2" t="s">
        <v>12</v>
      </c>
      <c r="F3" s="2">
        <v>1</v>
      </c>
      <c r="G3" s="2">
        <v>450</v>
      </c>
      <c r="H3" s="2">
        <v>50</v>
      </c>
    </row>
    <row r="4" spans="1:8" x14ac:dyDescent="0.45">
      <c r="A4" s="2">
        <v>2003</v>
      </c>
      <c r="B4" s="3">
        <v>45353</v>
      </c>
      <c r="C4" s="2" t="s">
        <v>13</v>
      </c>
      <c r="D4" s="2" t="s">
        <v>14</v>
      </c>
      <c r="E4" s="2" t="s">
        <v>10</v>
      </c>
      <c r="F4" s="2">
        <v>1</v>
      </c>
      <c r="G4" s="2">
        <v>300</v>
      </c>
      <c r="H4" s="2">
        <v>0</v>
      </c>
    </row>
    <row r="5" spans="1:8" x14ac:dyDescent="0.45">
      <c r="A5" s="2">
        <v>2004</v>
      </c>
      <c r="B5" s="3">
        <v>45353</v>
      </c>
      <c r="C5" s="2" t="s">
        <v>15</v>
      </c>
      <c r="D5" s="2" t="s">
        <v>16</v>
      </c>
      <c r="E5" s="2" t="s">
        <v>17</v>
      </c>
      <c r="F5" s="2">
        <v>3</v>
      </c>
      <c r="G5" s="2">
        <v>900</v>
      </c>
      <c r="H5" s="2">
        <v>100</v>
      </c>
    </row>
    <row r="6" spans="1:8" x14ac:dyDescent="0.45">
      <c r="A6" s="2">
        <v>2005</v>
      </c>
      <c r="B6" s="3">
        <v>45354</v>
      </c>
      <c r="C6" s="2" t="s">
        <v>18</v>
      </c>
      <c r="D6" s="2" t="s">
        <v>9</v>
      </c>
      <c r="E6" s="2" t="s">
        <v>12</v>
      </c>
      <c r="F6" s="2">
        <v>1</v>
      </c>
      <c r="G6" s="2">
        <v>450</v>
      </c>
      <c r="H6" s="2">
        <v>0</v>
      </c>
    </row>
    <row r="7" spans="1:8" x14ac:dyDescent="0.45">
      <c r="A7" s="2">
        <v>2006</v>
      </c>
      <c r="B7" s="3">
        <v>45355</v>
      </c>
      <c r="C7" s="2" t="s">
        <v>8</v>
      </c>
      <c r="D7" s="2" t="s">
        <v>14</v>
      </c>
      <c r="E7" s="2" t="s">
        <v>10</v>
      </c>
      <c r="F7" s="2">
        <v>2</v>
      </c>
      <c r="G7" s="2">
        <v>600</v>
      </c>
      <c r="H7" s="2">
        <v>0</v>
      </c>
    </row>
    <row r="8" spans="1:8" x14ac:dyDescent="0.45">
      <c r="A8" s="2">
        <v>2007</v>
      </c>
      <c r="B8" s="3">
        <v>45356</v>
      </c>
      <c r="C8" s="2" t="s">
        <v>13</v>
      </c>
      <c r="D8" s="2" t="s">
        <v>11</v>
      </c>
      <c r="E8" s="2" t="s">
        <v>17</v>
      </c>
      <c r="F8" s="2">
        <v>1</v>
      </c>
      <c r="G8" s="2">
        <v>300</v>
      </c>
      <c r="H8" s="2">
        <v>50</v>
      </c>
    </row>
    <row r="9" spans="1:8" x14ac:dyDescent="0.45">
      <c r="A9" s="2">
        <v>2008</v>
      </c>
      <c r="B9" s="3">
        <v>45356</v>
      </c>
      <c r="C9" s="2" t="s">
        <v>18</v>
      </c>
      <c r="D9" s="2" t="s">
        <v>16</v>
      </c>
      <c r="E9" s="2" t="s">
        <v>10</v>
      </c>
      <c r="F9" s="2">
        <v>1</v>
      </c>
      <c r="G9" s="2">
        <v>300</v>
      </c>
      <c r="H9" s="2">
        <v>0</v>
      </c>
    </row>
    <row r="10" spans="1:8" x14ac:dyDescent="0.45">
      <c r="A10" s="2">
        <v>2009</v>
      </c>
      <c r="B10" s="3">
        <v>45357</v>
      </c>
      <c r="C10" s="2" t="s">
        <v>8</v>
      </c>
      <c r="D10" s="2" t="s">
        <v>9</v>
      </c>
      <c r="E10" s="2" t="s">
        <v>12</v>
      </c>
      <c r="F10" s="2">
        <v>2</v>
      </c>
      <c r="G10" s="2">
        <v>900</v>
      </c>
      <c r="H10" s="2">
        <v>100</v>
      </c>
    </row>
    <row r="11" spans="1:8" x14ac:dyDescent="0.45">
      <c r="A11" s="2">
        <v>2010</v>
      </c>
      <c r="B11" s="3">
        <v>45358</v>
      </c>
      <c r="C11" s="2" t="s">
        <v>15</v>
      </c>
      <c r="D11" s="2" t="s">
        <v>14</v>
      </c>
      <c r="E11" s="2" t="s">
        <v>17</v>
      </c>
      <c r="F11" s="2">
        <v>1</v>
      </c>
      <c r="G11" s="2">
        <v>300</v>
      </c>
      <c r="H11"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Dashbaord</vt:lpstr>
      <vt:lpstr>Pivot</vt:lpstr>
      <vt:lpstr>Cleaned Employees Table</vt:lpstr>
      <vt:lpstr>Cleaned Products Table</vt:lpstr>
      <vt:lpstr>Cleaned Orders Table</vt:lpstr>
      <vt:lpstr>RAW Employees Table</vt:lpstr>
      <vt:lpstr>RAW Products Table</vt:lpstr>
      <vt:lpstr>RAW Orders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 Santana</dc:creator>
  <cp:lastModifiedBy>Erik Santana</cp:lastModifiedBy>
  <dcterms:created xsi:type="dcterms:W3CDTF">2026-02-05T18:02:09Z</dcterms:created>
  <dcterms:modified xsi:type="dcterms:W3CDTF">2026-02-10T20:04:38Z</dcterms:modified>
</cp:coreProperties>
</file>