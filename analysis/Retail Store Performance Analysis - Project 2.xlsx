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 Analyst Practice\"/>
    </mc:Choice>
  </mc:AlternateContent>
  <xr:revisionPtr revIDLastSave="0" documentId="13_ncr:1_{0DEED5E5-B7AE-4A69-B9E1-F217BE05B39C}" xr6:coauthVersionLast="47" xr6:coauthVersionMax="47" xr10:uidLastSave="{00000000-0000-0000-0000-000000000000}"/>
  <bookViews>
    <workbookView xWindow="-98" yWindow="-98" windowWidth="28996" windowHeight="15675" activeTab="3" xr2:uid="{99D3497D-0690-43D4-8FE2-888994BA2FB6}"/>
  </bookViews>
  <sheets>
    <sheet name="Dashboards" sheetId="4" r:id="rId1"/>
    <sheet name="Pivot" sheetId="3" r:id="rId2"/>
    <sheet name="Cleaned" sheetId="2" r:id="rId3"/>
    <sheet name="RAW Data" sheetId="1" r:id="rId4"/>
  </sheet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J2" i="2"/>
  <c r="K7" i="2"/>
  <c r="K8" i="2"/>
  <c r="K9" i="2"/>
  <c r="K10" i="2"/>
  <c r="K11" i="2"/>
  <c r="K12" i="2"/>
  <c r="K13" i="2"/>
  <c r="E2" i="2"/>
  <c r="E3" i="2"/>
  <c r="E4" i="2"/>
  <c r="E5" i="2"/>
  <c r="E6" i="2"/>
  <c r="E7" i="2"/>
  <c r="E8" i="2"/>
  <c r="E9" i="2"/>
  <c r="E10" i="2"/>
  <c r="E11" i="2"/>
  <c r="E12" i="2"/>
  <c r="E13" i="2"/>
  <c r="D2" i="2"/>
  <c r="D3" i="2"/>
  <c r="D4" i="2"/>
  <c r="D5" i="2"/>
  <c r="D6" i="2"/>
  <c r="D7" i="2"/>
  <c r="D8" i="2"/>
  <c r="D9" i="2"/>
  <c r="D10" i="2"/>
  <c r="D11" i="2"/>
  <c r="D12" i="2"/>
  <c r="D13" i="2"/>
  <c r="L11" i="2"/>
  <c r="L12" i="2"/>
  <c r="L13" i="2"/>
  <c r="J3" i="2"/>
  <c r="M3" i="2" s="1"/>
  <c r="J4" i="2"/>
  <c r="M4" i="2" s="1"/>
  <c r="J5" i="2"/>
  <c r="M5" i="2" s="1"/>
  <c r="J6" i="2"/>
  <c r="L6" i="2" s="1"/>
  <c r="J7" i="2"/>
  <c r="M7" i="2" s="1"/>
  <c r="J8" i="2"/>
  <c r="M8" i="2" s="1"/>
  <c r="J9" i="2"/>
  <c r="M9" i="2" s="1"/>
  <c r="J10" i="2"/>
  <c r="M10" i="2" s="1"/>
  <c r="J11" i="2"/>
  <c r="M11" i="2" s="1"/>
  <c r="J12" i="2"/>
  <c r="M12" i="2" s="1"/>
  <c r="J13" i="2"/>
  <c r="M13" i="2" s="1"/>
  <c r="K6" i="2" l="1"/>
  <c r="K5" i="2"/>
  <c r="C7" i="4"/>
  <c r="K4" i="2"/>
  <c r="G7" i="4"/>
  <c r="K3" i="2"/>
  <c r="K2" i="2"/>
  <c r="M2" i="2"/>
  <c r="M6" i="2"/>
  <c r="L5" i="2"/>
  <c r="L10" i="2"/>
  <c r="L9" i="2"/>
  <c r="L8" i="2"/>
  <c r="L7" i="2"/>
  <c r="L4" i="2"/>
  <c r="L3" i="2"/>
  <c r="L2" i="2"/>
</calcChain>
</file>

<file path=xl/sharedStrings.xml><?xml version="1.0" encoding="utf-8"?>
<sst xmlns="http://schemas.openxmlformats.org/spreadsheetml/2006/main" count="103" uniqueCount="58">
  <si>
    <t>OrderID,Store,Category,Employee,OrderDate,Units,UnitPrice,Revenue</t>
  </si>
  <si>
    <t>2001,West,Electronics,Ana Lopez,2/1/2024,1,1200,1200</t>
  </si>
  <si>
    <t>2002,East,Furniture,Mark Kim,2/1/2024,2,450,900</t>
  </si>
  <si>
    <t>2003,West,Electronics,Ana Lopez,2/2/2024,1,1200,1200</t>
  </si>
  <si>
    <t>2004,South,Office,Chris Wu,2/3/2024,5,80,400</t>
  </si>
  <si>
    <t>2005,East,Electronics,Mark Kim,2/4/2024,1,1200,</t>
  </si>
  <si>
    <t>2006,North,Office,Lisa Tran,2/5/2024,3,80,240</t>
  </si>
  <si>
    <t>2007,West,Furniture,Ana Lopez,2/5/2024,1,450,450</t>
  </si>
  <si>
    <t>2008,South,Electronics,Chris Wu,2/6/2024,1,1200,1200</t>
  </si>
  <si>
    <t>2009,West,Office,Ana Lopez,2/7/2024,2,80,160</t>
  </si>
  <si>
    <t>2010,East,Furniture,Mark Kim,2/8/2024,1,450,450</t>
  </si>
  <si>
    <t>2011,North,Electronics,Lisa Tran,2/9/2024,1,1200,</t>
  </si>
  <si>
    <t>2012,South,Office,Chris Wu,2/10/2024,4,80,320</t>
  </si>
  <si>
    <t>OrderID</t>
  </si>
  <si>
    <t>Store</t>
  </si>
  <si>
    <t>Category</t>
  </si>
  <si>
    <t>Employee</t>
  </si>
  <si>
    <t>OrderDate</t>
  </si>
  <si>
    <t>Units</t>
  </si>
  <si>
    <t>UnitPrice</t>
  </si>
  <si>
    <t>West</t>
  </si>
  <si>
    <t>Electronics</t>
  </si>
  <si>
    <t>Ana Lopez</t>
  </si>
  <si>
    <t>East</t>
  </si>
  <si>
    <t>Furniture</t>
  </si>
  <si>
    <t>Mark Kim</t>
  </si>
  <si>
    <t>South</t>
  </si>
  <si>
    <t>Office</t>
  </si>
  <si>
    <t>Chris Wu</t>
  </si>
  <si>
    <t>North</t>
  </si>
  <si>
    <t>Lisa Tran</t>
  </si>
  <si>
    <t>Flag Revenue</t>
  </si>
  <si>
    <t>Revenue2</t>
  </si>
  <si>
    <t>High Or Low</t>
  </si>
  <si>
    <t>First Name</t>
  </si>
  <si>
    <t>Last Name</t>
  </si>
  <si>
    <t>Rounded Revenue</t>
  </si>
  <si>
    <t>Row Labels</t>
  </si>
  <si>
    <t>Grand Total</t>
  </si>
  <si>
    <t>Sum of Revenue2</t>
  </si>
  <si>
    <t>Revenue by Category</t>
  </si>
  <si>
    <t>Revenue by Store</t>
  </si>
  <si>
    <t>Count of OrderID</t>
  </si>
  <si>
    <t>Employee Performance</t>
  </si>
  <si>
    <t>Total Orders:</t>
  </si>
  <si>
    <t>Total Revenue:</t>
  </si>
  <si>
    <t>Average Order Value:</t>
  </si>
  <si>
    <t>1-Feb</t>
  </si>
  <si>
    <t>2-Feb</t>
  </si>
  <si>
    <t>3-Feb</t>
  </si>
  <si>
    <t>4-Feb</t>
  </si>
  <si>
    <t>5-Feb</t>
  </si>
  <si>
    <t>6-Feb</t>
  </si>
  <si>
    <t>7-Feb</t>
  </si>
  <si>
    <t>8-Feb</t>
  </si>
  <si>
    <t>9-Feb</t>
  </si>
  <si>
    <t>10-Feb</t>
  </si>
  <si>
    <t>Daily Revenue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</si>
</sst>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7"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48"/>
      <color theme="1"/>
      <name val="Aptos Narrow"/>
      <family val="2"/>
      <scheme val="minor"/>
    </font>
    <font>
      <b/>
      <sz val="36"/>
      <color theme="1"/>
      <name val="Aptos Narrow"/>
      <family val="2"/>
      <scheme val="minor"/>
    </font>
    <font>
      <b/>
      <sz val="36"/>
      <color theme="0"/>
      <name val="Aptos Narrow"/>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1" tint="4.9989318521683403E-2"/>
        <bgColor indexed="64"/>
      </patternFill>
    </fill>
    <fill>
      <patternFill patternType="solid">
        <fgColor theme="1"/>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4" fillId="2" borderId="0" xfId="0" applyFont="1" applyFill="1"/>
    <xf numFmtId="0" fontId="5" fillId="0" borderId="0" xfId="0" applyFont="1"/>
    <xf numFmtId="0" fontId="6" fillId="3" borderId="0" xfId="0" applyFont="1" applyFill="1"/>
    <xf numFmtId="0" fontId="6" fillId="4" borderId="0" xfId="0" applyFont="1" applyFill="1"/>
    <xf numFmtId="164" fontId="4" fillId="2" borderId="0" xfId="1" applyNumberFormat="1" applyFont="1" applyFill="1"/>
  </cellXfs>
  <cellStyles count="2">
    <cellStyle name="Currency" xfId="1" builtinId="4"/>
    <cellStyle name="Normal" xfId="0" builtinId="0"/>
  </cellStyles>
  <dxfs count="7">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Analysis - Project 2.xlsx]Pivot!PivotTable1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West</c:v>
                </c:pt>
                <c:pt idx="1">
                  <c:v>East</c:v>
                </c:pt>
                <c:pt idx="2">
                  <c:v>South</c:v>
                </c:pt>
                <c:pt idx="3">
                  <c:v>North</c:v>
                </c:pt>
              </c:strCache>
            </c:strRef>
          </c:cat>
          <c:val>
            <c:numRef>
              <c:f>Pivot!$B$4:$B$8</c:f>
              <c:numCache>
                <c:formatCode>General</c:formatCode>
                <c:ptCount val="4"/>
                <c:pt idx="0">
                  <c:v>3010</c:v>
                </c:pt>
                <c:pt idx="1">
                  <c:v>2550</c:v>
                </c:pt>
                <c:pt idx="2">
                  <c:v>1920</c:v>
                </c:pt>
                <c:pt idx="3">
                  <c:v>1440</c:v>
                </c:pt>
              </c:numCache>
            </c:numRef>
          </c:val>
          <c:extLst>
            <c:ext xmlns:c16="http://schemas.microsoft.com/office/drawing/2014/chart" uri="{C3380CC4-5D6E-409C-BE32-E72D297353CC}">
              <c16:uniqueId val="{00000000-C152-41FD-A829-290683B0CAB1}"/>
            </c:ext>
          </c:extLst>
        </c:ser>
        <c:dLbls>
          <c:showLegendKey val="0"/>
          <c:showVal val="0"/>
          <c:showCatName val="0"/>
          <c:showSerName val="0"/>
          <c:showPercent val="0"/>
          <c:showBubbleSize val="0"/>
        </c:dLbls>
        <c:gapWidth val="182"/>
        <c:axId val="399426512"/>
        <c:axId val="399424592"/>
      </c:barChart>
      <c:catAx>
        <c:axId val="39942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24592"/>
        <c:crosses val="autoZero"/>
        <c:auto val="1"/>
        <c:lblAlgn val="ctr"/>
        <c:lblOffset val="100"/>
        <c:noMultiLvlLbl val="0"/>
      </c:catAx>
      <c:valAx>
        <c:axId val="39942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2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Analysis - Project 2.xlsx]Pivot!PivotTable3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28575" cap="rnd">
              <a:solidFill>
                <a:schemeClr val="accent1"/>
              </a:solidFill>
              <a:round/>
            </a:ln>
            <a:effectLst/>
          </c:spPr>
          <c:marker>
            <c:symbol val="none"/>
          </c:marker>
          <c:cat>
            <c:strRef>
              <c:f>Pivot!$G$4:$G$14</c:f>
              <c:strCache>
                <c:ptCount val="10"/>
                <c:pt idx="0">
                  <c:v>1-Feb</c:v>
                </c:pt>
                <c:pt idx="1">
                  <c:v>2-Feb</c:v>
                </c:pt>
                <c:pt idx="2">
                  <c:v>3-Feb</c:v>
                </c:pt>
                <c:pt idx="3">
                  <c:v>4-Feb</c:v>
                </c:pt>
                <c:pt idx="4">
                  <c:v>5-Feb</c:v>
                </c:pt>
                <c:pt idx="5">
                  <c:v>6-Feb</c:v>
                </c:pt>
                <c:pt idx="6">
                  <c:v>7-Feb</c:v>
                </c:pt>
                <c:pt idx="7">
                  <c:v>8-Feb</c:v>
                </c:pt>
                <c:pt idx="8">
                  <c:v>9-Feb</c:v>
                </c:pt>
                <c:pt idx="9">
                  <c:v>10-Feb</c:v>
                </c:pt>
              </c:strCache>
            </c:strRef>
          </c:cat>
          <c:val>
            <c:numRef>
              <c:f>Pivot!$H$4:$H$14</c:f>
              <c:numCache>
                <c:formatCode>General</c:formatCode>
                <c:ptCount val="10"/>
                <c:pt idx="0">
                  <c:v>2100</c:v>
                </c:pt>
                <c:pt idx="1">
                  <c:v>1200</c:v>
                </c:pt>
                <c:pt idx="2">
                  <c:v>400</c:v>
                </c:pt>
                <c:pt idx="3">
                  <c:v>1200</c:v>
                </c:pt>
                <c:pt idx="4">
                  <c:v>690</c:v>
                </c:pt>
                <c:pt idx="5">
                  <c:v>1200</c:v>
                </c:pt>
                <c:pt idx="6">
                  <c:v>160</c:v>
                </c:pt>
                <c:pt idx="7">
                  <c:v>450</c:v>
                </c:pt>
                <c:pt idx="8">
                  <c:v>1200</c:v>
                </c:pt>
                <c:pt idx="9">
                  <c:v>320</c:v>
                </c:pt>
              </c:numCache>
            </c:numRef>
          </c:val>
          <c:smooth val="0"/>
          <c:extLst>
            <c:ext xmlns:c16="http://schemas.microsoft.com/office/drawing/2014/chart" uri="{C3380CC4-5D6E-409C-BE32-E72D297353CC}">
              <c16:uniqueId val="{00000000-3270-4590-8817-05445921CCB5}"/>
            </c:ext>
          </c:extLst>
        </c:ser>
        <c:dLbls>
          <c:showLegendKey val="0"/>
          <c:showVal val="0"/>
          <c:showCatName val="0"/>
          <c:showSerName val="0"/>
          <c:showPercent val="0"/>
          <c:showBubbleSize val="0"/>
        </c:dLbls>
        <c:smooth val="0"/>
        <c:axId val="400408576"/>
        <c:axId val="400410976"/>
      </c:lineChart>
      <c:catAx>
        <c:axId val="40040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10976"/>
        <c:crosses val="autoZero"/>
        <c:auto val="1"/>
        <c:lblAlgn val="ctr"/>
        <c:lblOffset val="100"/>
        <c:noMultiLvlLbl val="0"/>
      </c:catAx>
      <c:valAx>
        <c:axId val="40041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0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338138</xdr:colOff>
      <xdr:row>11</xdr:row>
      <xdr:rowOff>33337</xdr:rowOff>
    </xdr:from>
    <xdr:to>
      <xdr:col>3</xdr:col>
      <xdr:colOff>2324100</xdr:colOff>
      <xdr:row>26</xdr:row>
      <xdr:rowOff>61912</xdr:rowOff>
    </xdr:to>
    <xdr:graphicFrame macro="">
      <xdr:nvGraphicFramePr>
        <xdr:cNvPr id="5" name="Chart 4">
          <a:extLst>
            <a:ext uri="{FF2B5EF4-FFF2-40B4-BE49-F238E27FC236}">
              <a16:creationId xmlns:a16="http://schemas.microsoft.com/office/drawing/2014/main" id="{9922F243-3AE9-47BC-A6D8-57C0ED7EE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2948</xdr:colOff>
      <xdr:row>11</xdr:row>
      <xdr:rowOff>15570</xdr:rowOff>
    </xdr:from>
    <xdr:to>
      <xdr:col>7</xdr:col>
      <xdr:colOff>40972</xdr:colOff>
      <xdr:row>26</xdr:row>
      <xdr:rowOff>40517</xdr:rowOff>
    </xdr:to>
    <xdr:graphicFrame macro="">
      <xdr:nvGraphicFramePr>
        <xdr:cNvPr id="6" name="Chart 5">
          <a:extLst>
            <a:ext uri="{FF2B5EF4-FFF2-40B4-BE49-F238E27FC236}">
              <a16:creationId xmlns:a16="http://schemas.microsoft.com/office/drawing/2014/main" id="{CA293A25-B9BB-419C-9D0F-709A7E3C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1377042</xdr:colOff>
      <xdr:row>4</xdr:row>
      <xdr:rowOff>136071</xdr:rowOff>
    </xdr:from>
    <xdr:to>
      <xdr:col>9</xdr:col>
      <xdr:colOff>1551214</xdr:colOff>
      <xdr:row>32</xdr:row>
      <xdr:rowOff>84667</xdr:rowOff>
    </xdr:to>
    <xdr:sp macro="" textlink="">
      <xdr:nvSpPr>
        <xdr:cNvPr id="7" name="TextBox 6">
          <a:extLst>
            <a:ext uri="{FF2B5EF4-FFF2-40B4-BE49-F238E27FC236}">
              <a16:creationId xmlns:a16="http://schemas.microsoft.com/office/drawing/2014/main" id="{E07BA34A-51AE-E63C-F2DE-2692E07C3DEF}"/>
            </a:ext>
          </a:extLst>
        </xdr:cNvPr>
        <xdr:cNvSpPr txBox="1"/>
      </xdr:nvSpPr>
      <xdr:spPr>
        <a:xfrm>
          <a:off x="18419232" y="861785"/>
          <a:ext cx="4195839" cy="60506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Which store performs best?</a:t>
          </a:r>
        </a:p>
        <a:p>
          <a:endParaRPr lang="en-US" sz="1400"/>
        </a:p>
        <a:p>
          <a:r>
            <a:rPr lang="en-US" sz="1400" i="1"/>
            <a:t>The West store generated the highest revenue at </a:t>
          </a:r>
          <a:r>
            <a:rPr lang="en-US" sz="1400" b="1" i="1"/>
            <a:t>$3,010</a:t>
          </a:r>
          <a:r>
            <a:rPr lang="en-US" sz="1400" i="1"/>
            <a:t>, outperforming all other stores.</a:t>
          </a:r>
        </a:p>
        <a:p>
          <a:endParaRPr lang="en-US" sz="1400"/>
        </a:p>
        <a:p>
          <a:r>
            <a:rPr lang="en-US" sz="1400" b="1"/>
            <a:t>Which category drives revenue?</a:t>
          </a:r>
        </a:p>
        <a:p>
          <a:endParaRPr lang="en-US" sz="1400"/>
        </a:p>
        <a:p>
          <a:r>
            <a:rPr lang="en-US" sz="1400" i="1"/>
            <a:t>Electronics is the primary revenue driver, contributing </a:t>
          </a:r>
          <a:r>
            <a:rPr lang="en-US" sz="1400" b="1" i="1"/>
            <a:t>$6,000</a:t>
          </a:r>
          <a:r>
            <a:rPr lang="en-US" sz="1400" i="1"/>
            <a:t>, significantly more than other categories.</a:t>
          </a:r>
        </a:p>
        <a:p>
          <a:endParaRPr lang="en-US" sz="1400"/>
        </a:p>
        <a:p>
          <a:r>
            <a:rPr lang="en-US" sz="1400" b="1"/>
            <a:t>Are employees evenly productive?</a:t>
          </a:r>
        </a:p>
        <a:p>
          <a:endParaRPr lang="en-US" sz="1400"/>
        </a:p>
        <a:p>
          <a:r>
            <a:rPr lang="en-US" sz="1400" i="1"/>
            <a:t>Employee productivity is uneven. Ana handles the highest order volume, while Mark generates the highest revenue per order. Lisa trails in both activity and total revenue, indicating performance variation across the team.</a:t>
          </a:r>
        </a:p>
        <a:p>
          <a:endParaRPr lang="en-US" sz="1400"/>
        </a:p>
        <a:p>
          <a:r>
            <a:rPr lang="en-US" sz="1400" b="1"/>
            <a:t>How many orders had missing revenue?</a:t>
          </a:r>
        </a:p>
        <a:p>
          <a:endParaRPr lang="en-US" sz="1400"/>
        </a:p>
        <a:p>
          <a:r>
            <a:rPr lang="en-US" sz="1400" i="1"/>
            <a:t>No orders contain missing revenue values.</a:t>
          </a:r>
        </a:p>
        <a:p>
          <a:endParaRPr lang="en-US" sz="1400"/>
        </a:p>
        <a:p>
          <a:r>
            <a:rPr lang="en-US" sz="1400" b="1"/>
            <a:t>Confidence statement</a:t>
          </a:r>
        </a:p>
        <a:p>
          <a:endParaRPr lang="en-US" sz="1400"/>
        </a:p>
        <a:p>
          <a:r>
            <a:rPr lang="en-US" sz="1400" i="1"/>
            <a:t>The dataset was cleaned and validated. No missing revenue values were found, and totals were verified through pivot table cross-checks.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k Santana" refreshedDate="46055.462393171299" createdVersion="8" refreshedVersion="8" minRefreshableVersion="3" recordCount="12" xr:uid="{509EA810-675A-4D49-82EA-D2AA6B792886}">
  <cacheSource type="worksheet">
    <worksheetSource name="Table1"/>
  </cacheSource>
  <cacheFields count="14">
    <cacheField name="OrderID" numFmtId="0">
      <sharedItems containsSemiMixedTypes="0" containsString="0" containsNumber="1" containsInteger="1" minValue="2001" maxValue="2012"/>
    </cacheField>
    <cacheField name="Store" numFmtId="0">
      <sharedItems count="4">
        <s v="West"/>
        <s v="East"/>
        <s v="South"/>
        <s v="North"/>
      </sharedItems>
    </cacheField>
    <cacheField name="Category" numFmtId="0">
      <sharedItems count="3">
        <s v="Electronics"/>
        <s v="Furniture"/>
        <s v="Office"/>
      </sharedItems>
    </cacheField>
    <cacheField name="First Name" numFmtId="0">
      <sharedItems/>
    </cacheField>
    <cacheField name="Last Name" numFmtId="0">
      <sharedItems/>
    </cacheField>
    <cacheField name="Employee" numFmtId="0">
      <sharedItems count="4">
        <s v="Ana Lopez"/>
        <s v="Mark Kim"/>
        <s v="Chris Wu"/>
        <s v="Lisa Tran"/>
      </sharedItems>
    </cacheField>
    <cacheField name="OrderDate" numFmtId="14">
      <sharedItems containsSemiMixedTypes="0" containsNonDate="0" containsDate="1" containsString="0" minDate="2024-02-01T00:00:00" maxDate="2024-02-11T00:00:00" count="10">
        <d v="2024-02-01T00:00:00"/>
        <d v="2024-02-02T00:00:00"/>
        <d v="2024-02-03T00:00:00"/>
        <d v="2024-02-04T00:00:00"/>
        <d v="2024-02-05T00:00:00"/>
        <d v="2024-02-06T00:00:00"/>
        <d v="2024-02-07T00:00:00"/>
        <d v="2024-02-08T00:00:00"/>
        <d v="2024-02-09T00:00:00"/>
        <d v="2024-02-10T00:00:00"/>
      </sharedItems>
      <fieldGroup par="13"/>
    </cacheField>
    <cacheField name="Units" numFmtId="0">
      <sharedItems containsSemiMixedTypes="0" containsString="0" containsNumber="1" containsInteger="1" minValue="1" maxValue="5"/>
    </cacheField>
    <cacheField name="UnitPrice" numFmtId="0">
      <sharedItems containsSemiMixedTypes="0" containsString="0" containsNumber="1" containsInteger="1" minValue="80" maxValue="1200"/>
    </cacheField>
    <cacheField name="Revenue2" numFmtId="0">
      <sharedItems containsSemiMixedTypes="0" containsString="0" containsNumber="1" containsInteger="1" minValue="160" maxValue="1200" count="7">
        <n v="1200"/>
        <n v="900"/>
        <n v="400"/>
        <n v="240"/>
        <n v="450"/>
        <n v="160"/>
        <n v="320"/>
      </sharedItems>
    </cacheField>
    <cacheField name="Rounded Revenue" numFmtId="0">
      <sharedItems containsSemiMixedTypes="0" containsString="0" containsNumber="1" containsInteger="1" minValue="160" maxValue="1200"/>
    </cacheField>
    <cacheField name="High Or Low" numFmtId="0">
      <sharedItems/>
    </cacheField>
    <cacheField name="Flag Revenue" numFmtId="0">
      <sharedItems/>
    </cacheField>
    <cacheField name="Days (OrderDate)" numFmtId="0" databaseField="0">
      <fieldGroup base="6">
        <rangePr groupBy="days" startDate="2024-02-01T00:00:00" endDate="2024-02-11T00:00:00"/>
        <groupItems count="368">
          <s v="&lt;2/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2001"/>
    <x v="0"/>
    <x v="0"/>
    <s v="Ana "/>
    <s v="Lopez"/>
    <x v="0"/>
    <x v="0"/>
    <n v="1"/>
    <n v="1200"/>
    <x v="0"/>
    <n v="1200"/>
    <s v="High"/>
    <s v="Ok"/>
  </r>
  <r>
    <n v="2002"/>
    <x v="1"/>
    <x v="1"/>
    <s v="Mark "/>
    <s v="Kim"/>
    <x v="1"/>
    <x v="0"/>
    <n v="2"/>
    <n v="450"/>
    <x v="1"/>
    <n v="900"/>
    <s v="Low"/>
    <s v="Ok"/>
  </r>
  <r>
    <n v="2003"/>
    <x v="0"/>
    <x v="0"/>
    <s v="Ana "/>
    <s v="Lopez"/>
    <x v="0"/>
    <x v="1"/>
    <n v="1"/>
    <n v="1200"/>
    <x v="0"/>
    <n v="1200"/>
    <s v="High"/>
    <s v="Ok"/>
  </r>
  <r>
    <n v="2004"/>
    <x v="2"/>
    <x v="2"/>
    <s v="Chris "/>
    <s v="Wu"/>
    <x v="2"/>
    <x v="2"/>
    <n v="5"/>
    <n v="80"/>
    <x v="2"/>
    <n v="400"/>
    <s v="Low"/>
    <s v="Ok"/>
  </r>
  <r>
    <n v="2005"/>
    <x v="1"/>
    <x v="0"/>
    <s v="Mark "/>
    <s v="Kim"/>
    <x v="1"/>
    <x v="3"/>
    <n v="1"/>
    <n v="1200"/>
    <x v="0"/>
    <n v="1200"/>
    <s v="High"/>
    <s v="Ok"/>
  </r>
  <r>
    <n v="2006"/>
    <x v="3"/>
    <x v="2"/>
    <s v="Lisa "/>
    <s v="Tran"/>
    <x v="3"/>
    <x v="4"/>
    <n v="3"/>
    <n v="80"/>
    <x v="3"/>
    <n v="240"/>
    <s v="Low"/>
    <s v="Ok"/>
  </r>
  <r>
    <n v="2007"/>
    <x v="0"/>
    <x v="1"/>
    <s v="Ana "/>
    <s v="Lopez"/>
    <x v="0"/>
    <x v="4"/>
    <n v="1"/>
    <n v="450"/>
    <x v="4"/>
    <n v="450"/>
    <s v="Low"/>
    <s v="Ok"/>
  </r>
  <r>
    <n v="2008"/>
    <x v="2"/>
    <x v="0"/>
    <s v="Chris "/>
    <s v="Wu"/>
    <x v="2"/>
    <x v="5"/>
    <n v="1"/>
    <n v="1200"/>
    <x v="0"/>
    <n v="1200"/>
    <s v="High"/>
    <s v="Ok"/>
  </r>
  <r>
    <n v="2009"/>
    <x v="0"/>
    <x v="2"/>
    <s v="Ana "/>
    <s v="Lopez"/>
    <x v="0"/>
    <x v="6"/>
    <n v="2"/>
    <n v="80"/>
    <x v="5"/>
    <n v="160"/>
    <s v="Low"/>
    <s v="Ok"/>
  </r>
  <r>
    <n v="2010"/>
    <x v="1"/>
    <x v="1"/>
    <s v="Mark "/>
    <s v="Kim"/>
    <x v="1"/>
    <x v="7"/>
    <n v="1"/>
    <n v="450"/>
    <x v="4"/>
    <n v="450"/>
    <s v="Low"/>
    <s v="Ok"/>
  </r>
  <r>
    <n v="2011"/>
    <x v="3"/>
    <x v="0"/>
    <s v="Lisa "/>
    <s v="Tran"/>
    <x v="3"/>
    <x v="8"/>
    <n v="1"/>
    <n v="1200"/>
    <x v="0"/>
    <n v="1200"/>
    <s v="High"/>
    <s v="Ok"/>
  </r>
  <r>
    <n v="2012"/>
    <x v="2"/>
    <x v="2"/>
    <s v="Chris "/>
    <s v="Wu"/>
    <x v="2"/>
    <x v="9"/>
    <n v="4"/>
    <n v="80"/>
    <x v="6"/>
    <n v="320"/>
    <s v="Low"/>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054C1-41B4-4F36-87C6-95D890C2FEB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4" firstHeaderRow="1" firstDataRow="1" firstDataCol="1"/>
  <pivotFields count="14">
    <pivotField showAll="0"/>
    <pivotField showAll="0"/>
    <pivotField showAll="0"/>
    <pivotField showAll="0"/>
    <pivotField showAll="0"/>
    <pivotField showAll="0"/>
    <pivotField numFmtId="14" showAll="0">
      <items count="11">
        <item x="0"/>
        <item x="1"/>
        <item x="2"/>
        <item x="3"/>
        <item x="4"/>
        <item x="5"/>
        <item x="6"/>
        <item x="7"/>
        <item x="8"/>
        <item x="9"/>
        <item t="default"/>
      </items>
    </pivotField>
    <pivotField showAll="0"/>
    <pivotField showAll="0"/>
    <pivotField dataField="1"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3"/>
  </rowFields>
  <rowItems count="11">
    <i>
      <x v="32"/>
    </i>
    <i>
      <x v="33"/>
    </i>
    <i>
      <x v="34"/>
    </i>
    <i>
      <x v="35"/>
    </i>
    <i>
      <x v="36"/>
    </i>
    <i>
      <x v="37"/>
    </i>
    <i>
      <x v="38"/>
    </i>
    <i>
      <x v="39"/>
    </i>
    <i>
      <x v="40"/>
    </i>
    <i>
      <x v="41"/>
    </i>
    <i t="grand">
      <x/>
    </i>
  </rowItems>
  <colItems count="1">
    <i/>
  </colItems>
  <dataFields count="1">
    <dataField name="Sum of Revenue2"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E89D7-4462-403A-A323-FB8C8F360FA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14">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4">
    <i>
      <x/>
    </i>
    <i>
      <x v="1"/>
    </i>
    <i>
      <x v="2"/>
    </i>
    <i t="grand">
      <x/>
    </i>
  </rowItems>
  <colItems count="1">
    <i/>
  </colItems>
  <dataFields count="1">
    <dataField name="Sum of Revenue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8BEE6-F489-46CA-9745-7BA893F388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numFmtId="14" showAll="0">
      <items count="11">
        <item x="0"/>
        <item x="1"/>
        <item x="2"/>
        <item x="3"/>
        <item x="4"/>
        <item x="5"/>
        <item x="6"/>
        <item x="7"/>
        <item x="8"/>
        <item x="9"/>
        <item t="default"/>
      </items>
    </pivotField>
    <pivotField showAll="0"/>
    <pivotField showAll="0"/>
    <pivotField dataField="1" showAll="0">
      <items count="8">
        <item x="5"/>
        <item x="3"/>
        <item x="6"/>
        <item x="2"/>
        <item x="4"/>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5">
    <i>
      <x v="3"/>
    </i>
    <i>
      <x/>
    </i>
    <i>
      <x v="2"/>
    </i>
    <i>
      <x v="1"/>
    </i>
    <i t="grand">
      <x/>
    </i>
  </rowItems>
  <colItems count="1">
    <i/>
  </colItems>
  <dataFields count="1">
    <dataField name="Sum of Revenue2"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398429-3B04-4EDA-8EC7-2A231C4E294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8" firstHeaderRow="0" firstDataRow="1" firstDataCol="1"/>
  <pivotFields count="14">
    <pivotField dataField="1" showAll="0"/>
    <pivotField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4"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5">
    <i>
      <x/>
    </i>
    <i>
      <x v="3"/>
    </i>
    <i>
      <x v="1"/>
    </i>
    <i>
      <x v="2"/>
    </i>
    <i t="grand">
      <x/>
    </i>
  </rowItems>
  <colFields count="1">
    <field x="-2"/>
  </colFields>
  <colItems count="2">
    <i>
      <x/>
    </i>
    <i i="1">
      <x v="1"/>
    </i>
  </colItems>
  <dataFields count="2">
    <dataField name="Count of OrderID" fld="0" subtotal="count" baseField="5" baseItem="0"/>
    <dataField name="Sum of Revenue2"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31411-57C3-4478-B430-ED6ED8B438C3}" name="Table1" displayName="Table1" ref="A1:M13" totalsRowShown="0">
  <autoFilter ref="A1:M13" xr:uid="{44B31411-57C3-4478-B430-ED6ED8B438C3}"/>
  <tableColumns count="13">
    <tableColumn id="1" xr3:uid="{60F35856-8808-47C9-9E53-9957840047F1}" name="OrderID"/>
    <tableColumn id="2" xr3:uid="{DC610BC1-D620-42FF-9078-0D975CDC0CB4}" name="Store"/>
    <tableColumn id="3" xr3:uid="{60B65F5C-B51A-4526-B57A-741159DBEA6A}" name="Category"/>
    <tableColumn id="12" xr3:uid="{E1F04AA8-8FF8-4115-9046-A56710837E87}" name="First Name" dataDxfId="6">
      <calculatedColumnFormula>LEFT(Table1[[#This Row],[Employee]],FIND(" ",F2))</calculatedColumnFormula>
    </tableColumn>
    <tableColumn id="13" xr3:uid="{4420DD73-DF62-4F13-9A21-1CB0B86D1631}" name="Last Name" dataDxfId="5">
      <calculatedColumnFormula>TRIM(MID(Table1[[#This Row],[Employee]], FIND(" ", Table1[[#This Row],[Employee]]) + 1, LEN(Table1[[#This Row],[Employee]])))</calculatedColumnFormula>
    </tableColumn>
    <tableColumn id="4" xr3:uid="{60E82605-C91B-4D5B-9E85-3ABC391A6DD1}" name="Employee"/>
    <tableColumn id="5" xr3:uid="{8193087F-3DFA-4871-ABCA-4A6F04404CD5}" name="OrderDate" dataDxfId="4"/>
    <tableColumn id="6" xr3:uid="{FEA2C764-57B8-4D12-815A-CFCA9C949EDE}" name="Units"/>
    <tableColumn id="7" xr3:uid="{4F974276-40DB-444F-8430-E7E59AE71C31}" name="UnitPrice"/>
    <tableColumn id="10" xr3:uid="{5CE9343A-1884-4089-BB5E-020643AD420C}" name="Revenue2" dataDxfId="3">
      <calculatedColumnFormula>Table1[[#This Row],[Units]]*Table1[[#This Row],[UnitPrice]]</calculatedColumnFormula>
    </tableColumn>
    <tableColumn id="14" xr3:uid="{FB908F8A-4ABB-4CA2-974C-FEA56889E9B0}" name="Rounded Revenue" dataDxfId="2">
      <calculatedColumnFormula>ROUND(Table1[[#This Row],[Revenue2]],0)</calculatedColumnFormula>
    </tableColumn>
    <tableColumn id="11" xr3:uid="{4B208B50-02AA-4302-93EA-41A604C69ADE}" name="High Or Low" dataDxfId="1">
      <calculatedColumnFormula>IF(Table1[[#This Row],[Revenue2]]&gt;=1000, "High","Low")</calculatedColumnFormula>
    </tableColumn>
    <tableColumn id="9" xr3:uid="{8AA90750-FA86-4492-8CFF-5C320F1A9198}" name="Flag Revenue" dataDxfId="0">
      <calculatedColumnFormula>IF(Table1[[#This Row],[Revenue2]] = "", "Missing", "Ok")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4EE6-7AA1-4635-9A12-ED8031CF72B7}">
  <dimension ref="C6:K7"/>
  <sheetViews>
    <sheetView showGridLines="0" topLeftCell="A4" zoomScale="90" zoomScaleNormal="90" workbookViewId="0">
      <selection activeCell="I26" sqref="I26"/>
    </sheetView>
  </sheetViews>
  <sheetFormatPr defaultRowHeight="14.25" x14ac:dyDescent="0.45"/>
  <cols>
    <col min="3" max="3" width="41.53125" bestFit="1" customWidth="1"/>
    <col min="4" max="4" width="39.73046875" bestFit="1" customWidth="1"/>
    <col min="5" max="5" width="36.73046875" bestFit="1" customWidth="1"/>
    <col min="6" max="6" width="34.73046875" bestFit="1" customWidth="1"/>
    <col min="7" max="7" width="58.59765625" bestFit="1" customWidth="1"/>
    <col min="9" max="10" width="56.33203125" bestFit="1" customWidth="1"/>
  </cols>
  <sheetData>
    <row r="6" spans="3:11" ht="46.9" x14ac:dyDescent="1.4">
      <c r="C6" s="8" t="s">
        <v>45</v>
      </c>
      <c r="E6" s="8" t="s">
        <v>44</v>
      </c>
      <c r="G6" s="7" t="s">
        <v>46</v>
      </c>
      <c r="K6" s="6"/>
    </row>
    <row r="7" spans="3:11" ht="62.25" x14ac:dyDescent="1.85">
      <c r="C7" s="9">
        <f>SUM(Table1[Revenue2])</f>
        <v>8920</v>
      </c>
      <c r="E7" s="5">
        <f>COUNT(Table1[OrderID])</f>
        <v>12</v>
      </c>
      <c r="G7" s="9">
        <f>AVERAGE(Table1[Revenue2])</f>
        <v>743.33333333333337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7BC4-5546-4679-999F-5D7450F78B25}">
  <dimension ref="A2:L14"/>
  <sheetViews>
    <sheetView topLeftCell="A2" workbookViewId="0">
      <selection activeCell="H31" sqref="H31"/>
    </sheetView>
  </sheetViews>
  <sheetFormatPr defaultRowHeight="14.25" x14ac:dyDescent="0.45"/>
  <cols>
    <col min="1" max="1" width="12.33203125" bestFit="1" customWidth="1"/>
    <col min="2" max="2" width="15.1328125" bestFit="1" customWidth="1"/>
    <col min="4" max="4" width="12.33203125" bestFit="1" customWidth="1"/>
    <col min="5" max="5" width="15.1328125" bestFit="1" customWidth="1"/>
    <col min="6" max="6" width="14.6640625" bestFit="1" customWidth="1"/>
    <col min="7" max="7" width="12.33203125" bestFit="1" customWidth="1"/>
    <col min="8" max="8" width="15.1328125" bestFit="1" customWidth="1"/>
    <col min="10" max="10" width="12.33203125" bestFit="1" customWidth="1"/>
    <col min="11" max="11" width="14.6640625" bestFit="1" customWidth="1"/>
    <col min="12" max="12" width="15.1328125" bestFit="1" customWidth="1"/>
    <col min="13" max="13" width="14.19921875" bestFit="1" customWidth="1"/>
  </cols>
  <sheetData>
    <row r="2" spans="1:12" x14ac:dyDescent="0.45">
      <c r="A2" s="4" t="s">
        <v>41</v>
      </c>
      <c r="D2" s="4" t="s">
        <v>40</v>
      </c>
      <c r="G2" s="4" t="s">
        <v>57</v>
      </c>
      <c r="J2" s="4" t="s">
        <v>43</v>
      </c>
    </row>
    <row r="3" spans="1:12" x14ac:dyDescent="0.45">
      <c r="A3" s="2" t="s">
        <v>37</v>
      </c>
      <c r="B3" t="s">
        <v>39</v>
      </c>
      <c r="D3" s="2" t="s">
        <v>37</v>
      </c>
      <c r="E3" t="s">
        <v>39</v>
      </c>
      <c r="G3" s="2" t="s">
        <v>37</v>
      </c>
      <c r="H3" t="s">
        <v>39</v>
      </c>
      <c r="J3" s="2" t="s">
        <v>37</v>
      </c>
      <c r="K3" t="s">
        <v>42</v>
      </c>
      <c r="L3" t="s">
        <v>39</v>
      </c>
    </row>
    <row r="4" spans="1:12" x14ac:dyDescent="0.45">
      <c r="A4" s="3" t="s">
        <v>20</v>
      </c>
      <c r="B4">
        <v>3010</v>
      </c>
      <c r="D4" s="3" t="s">
        <v>21</v>
      </c>
      <c r="E4">
        <v>6000</v>
      </c>
      <c r="G4" s="3" t="s">
        <v>47</v>
      </c>
      <c r="H4">
        <v>2100</v>
      </c>
      <c r="J4" s="3" t="s">
        <v>22</v>
      </c>
      <c r="K4">
        <v>4</v>
      </c>
      <c r="L4">
        <v>3010</v>
      </c>
    </row>
    <row r="5" spans="1:12" x14ac:dyDescent="0.45">
      <c r="A5" s="3" t="s">
        <v>23</v>
      </c>
      <c r="B5">
        <v>2550</v>
      </c>
      <c r="D5" s="3" t="s">
        <v>24</v>
      </c>
      <c r="E5">
        <v>1800</v>
      </c>
      <c r="G5" s="3" t="s">
        <v>48</v>
      </c>
      <c r="H5">
        <v>1200</v>
      </c>
      <c r="J5" s="3" t="s">
        <v>25</v>
      </c>
      <c r="K5">
        <v>3</v>
      </c>
      <c r="L5">
        <v>2550</v>
      </c>
    </row>
    <row r="6" spans="1:12" x14ac:dyDescent="0.45">
      <c r="A6" s="3" t="s">
        <v>26</v>
      </c>
      <c r="B6">
        <v>1920</v>
      </c>
      <c r="D6" s="3" t="s">
        <v>27</v>
      </c>
      <c r="E6">
        <v>1120</v>
      </c>
      <c r="G6" s="3" t="s">
        <v>49</v>
      </c>
      <c r="H6">
        <v>400</v>
      </c>
      <c r="J6" s="3" t="s">
        <v>28</v>
      </c>
      <c r="K6">
        <v>3</v>
      </c>
      <c r="L6">
        <v>1920</v>
      </c>
    </row>
    <row r="7" spans="1:12" x14ac:dyDescent="0.45">
      <c r="A7" s="3" t="s">
        <v>29</v>
      </c>
      <c r="B7">
        <v>1440</v>
      </c>
      <c r="D7" s="3" t="s">
        <v>38</v>
      </c>
      <c r="E7">
        <v>8920</v>
      </c>
      <c r="G7" s="3" t="s">
        <v>50</v>
      </c>
      <c r="H7">
        <v>1200</v>
      </c>
      <c r="J7" s="3" t="s">
        <v>30</v>
      </c>
      <c r="K7">
        <v>2</v>
      </c>
      <c r="L7">
        <v>1440</v>
      </c>
    </row>
    <row r="8" spans="1:12" x14ac:dyDescent="0.45">
      <c r="A8" s="3" t="s">
        <v>38</v>
      </c>
      <c r="B8">
        <v>8920</v>
      </c>
      <c r="G8" s="3" t="s">
        <v>51</v>
      </c>
      <c r="H8">
        <v>690</v>
      </c>
      <c r="J8" s="3" t="s">
        <v>38</v>
      </c>
      <c r="K8">
        <v>12</v>
      </c>
      <c r="L8">
        <v>8920</v>
      </c>
    </row>
    <row r="9" spans="1:12" x14ac:dyDescent="0.45">
      <c r="G9" s="3" t="s">
        <v>52</v>
      </c>
      <c r="H9">
        <v>1200</v>
      </c>
    </row>
    <row r="10" spans="1:12" x14ac:dyDescent="0.45">
      <c r="G10" s="3" t="s">
        <v>53</v>
      </c>
      <c r="H10">
        <v>160</v>
      </c>
    </row>
    <row r="11" spans="1:12" x14ac:dyDescent="0.45">
      <c r="G11" s="3" t="s">
        <v>54</v>
      </c>
      <c r="H11">
        <v>450</v>
      </c>
    </row>
    <row r="12" spans="1:12" x14ac:dyDescent="0.45">
      <c r="G12" s="3" t="s">
        <v>55</v>
      </c>
      <c r="H12">
        <v>1200</v>
      </c>
    </row>
    <row r="13" spans="1:12" x14ac:dyDescent="0.45">
      <c r="G13" s="3" t="s">
        <v>56</v>
      </c>
      <c r="H13">
        <v>320</v>
      </c>
    </row>
    <row r="14" spans="1:12" x14ac:dyDescent="0.45">
      <c r="G14" s="3" t="s">
        <v>38</v>
      </c>
      <c r="H14">
        <v>8920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E51E-C26F-41E7-8379-AE3DF0D76D02}">
  <dimension ref="A1:O13"/>
  <sheetViews>
    <sheetView workbookViewId="0">
      <selection activeCell="K17" sqref="K17"/>
    </sheetView>
  </sheetViews>
  <sheetFormatPr defaultRowHeight="14.25" x14ac:dyDescent="0.45"/>
  <cols>
    <col min="1" max="1" width="9.265625" bestFit="1" customWidth="1"/>
    <col min="2" max="2" width="7.265625" bestFit="1" customWidth="1"/>
    <col min="3" max="3" width="10.06640625" bestFit="1" customWidth="1"/>
    <col min="4" max="4" width="11.53125" bestFit="1" customWidth="1"/>
    <col min="5" max="5" width="11.265625" bestFit="1" customWidth="1"/>
    <col min="6" max="6" width="10.86328125" bestFit="1" customWidth="1"/>
    <col min="7" max="7" width="11.265625" bestFit="1" customWidth="1"/>
    <col min="8" max="8" width="7.06640625" bestFit="1" customWidth="1"/>
    <col min="9" max="9" width="10.33203125" bestFit="1" customWidth="1"/>
    <col min="10" max="10" width="10.9296875" bestFit="1" customWidth="1"/>
    <col min="11" max="11" width="17.46484375" bestFit="1" customWidth="1"/>
    <col min="12" max="12" width="12.33203125" bestFit="1" customWidth="1"/>
    <col min="13" max="13" width="13.53125" bestFit="1" customWidth="1"/>
    <col min="15" max="15" width="28" bestFit="1" customWidth="1"/>
  </cols>
  <sheetData>
    <row r="1" spans="1:15" x14ac:dyDescent="0.45">
      <c r="A1" t="s">
        <v>13</v>
      </c>
      <c r="B1" t="s">
        <v>14</v>
      </c>
      <c r="C1" t="s">
        <v>15</v>
      </c>
      <c r="D1" t="s">
        <v>34</v>
      </c>
      <c r="E1" t="s">
        <v>35</v>
      </c>
      <c r="F1" t="s">
        <v>16</v>
      </c>
      <c r="G1" t="s">
        <v>17</v>
      </c>
      <c r="H1" t="s">
        <v>18</v>
      </c>
      <c r="I1" t="s">
        <v>19</v>
      </c>
      <c r="J1" t="s">
        <v>32</v>
      </c>
      <c r="K1" t="s">
        <v>36</v>
      </c>
      <c r="L1" t="s">
        <v>33</v>
      </c>
      <c r="M1" t="s">
        <v>31</v>
      </c>
      <c r="O1" s="4"/>
    </row>
    <row r="2" spans="1:15" x14ac:dyDescent="0.45">
      <c r="A2">
        <v>2001</v>
      </c>
      <c r="B2" t="s">
        <v>20</v>
      </c>
      <c r="C2" t="s">
        <v>21</v>
      </c>
      <c r="D2" t="str">
        <f>LEFT(Table1[[#This Row],[Employee]],FIND(" ",F2))</f>
        <v xml:space="preserve">Ana </v>
      </c>
      <c r="E2" t="str">
        <f>TRIM(MID(Table1[[#This Row],[Employee]], FIND(" ", Table1[[#This Row],[Employee]]) + 1, LEN(Table1[[#This Row],[Employee]])))</f>
        <v>Lopez</v>
      </c>
      <c r="F2" t="s">
        <v>22</v>
      </c>
      <c r="G2" s="1">
        <v>45323</v>
      </c>
      <c r="H2">
        <v>1</v>
      </c>
      <c r="I2">
        <v>1200</v>
      </c>
      <c r="J2">
        <f>Table1[[#This Row],[Units]]*Table1[[#This Row],[UnitPrice]]</f>
        <v>1200</v>
      </c>
      <c r="K2">
        <f>ROUND(Table1[[#This Row],[Revenue2]],0)</f>
        <v>1200</v>
      </c>
      <c r="L2" t="str">
        <f>IF(Table1[[#This Row],[Revenue2]]&gt;=1000, "High","Low")</f>
        <v>High</v>
      </c>
      <c r="M2" t="str">
        <f>IF(Table1[[#This Row],[Revenue2]] = "", "Missing", "Ok")</f>
        <v>Ok</v>
      </c>
    </row>
    <row r="3" spans="1:15" x14ac:dyDescent="0.45">
      <c r="A3">
        <v>2002</v>
      </c>
      <c r="B3" t="s">
        <v>23</v>
      </c>
      <c r="C3" t="s">
        <v>24</v>
      </c>
      <c r="D3" t="str">
        <f>LEFT(Table1[[#This Row],[Employee]],FIND(" ",F3))</f>
        <v xml:space="preserve">Mark </v>
      </c>
      <c r="E3" t="str">
        <f>TRIM(MID(Table1[[#This Row],[Employee]], FIND(" ", Table1[[#This Row],[Employee]]) + 1, LEN(Table1[[#This Row],[Employee]])))</f>
        <v>Kim</v>
      </c>
      <c r="F3" t="s">
        <v>25</v>
      </c>
      <c r="G3" s="1">
        <v>45323</v>
      </c>
      <c r="H3">
        <v>2</v>
      </c>
      <c r="I3">
        <v>450</v>
      </c>
      <c r="J3">
        <f>Table1[[#This Row],[Units]]*Table1[[#This Row],[UnitPrice]]</f>
        <v>900</v>
      </c>
      <c r="K3">
        <f>ROUND(Table1[[#This Row],[Revenue2]],0)</f>
        <v>900</v>
      </c>
      <c r="L3" t="str">
        <f>IF(Table1[[#This Row],[Revenue2]]&gt;=1000, "High","Low")</f>
        <v>Low</v>
      </c>
      <c r="M3" t="str">
        <f>IF(Table1[[#This Row],[Revenue2]] = "", "Missing", "Ok")</f>
        <v>Ok</v>
      </c>
    </row>
    <row r="4" spans="1:15" x14ac:dyDescent="0.45">
      <c r="A4">
        <v>2003</v>
      </c>
      <c r="B4" t="s">
        <v>20</v>
      </c>
      <c r="C4" t="s">
        <v>21</v>
      </c>
      <c r="D4" t="str">
        <f>LEFT(Table1[[#This Row],[Employee]],FIND(" ",F4))</f>
        <v xml:space="preserve">Ana </v>
      </c>
      <c r="E4" t="str">
        <f>TRIM(MID(Table1[[#This Row],[Employee]], FIND(" ", Table1[[#This Row],[Employee]]) + 1, LEN(Table1[[#This Row],[Employee]])))</f>
        <v>Lopez</v>
      </c>
      <c r="F4" t="s">
        <v>22</v>
      </c>
      <c r="G4" s="1">
        <v>45324</v>
      </c>
      <c r="H4">
        <v>1</v>
      </c>
      <c r="I4">
        <v>1200</v>
      </c>
      <c r="J4">
        <f>Table1[[#This Row],[Units]]*Table1[[#This Row],[UnitPrice]]</f>
        <v>1200</v>
      </c>
      <c r="K4">
        <f>ROUND(Table1[[#This Row],[Revenue2]],0)</f>
        <v>1200</v>
      </c>
      <c r="L4" t="str">
        <f>IF(Table1[[#This Row],[Revenue2]]&gt;=1000, "High","Low")</f>
        <v>High</v>
      </c>
      <c r="M4" t="str">
        <f>IF(Table1[[#This Row],[Revenue2]] = "", "Missing", "Ok")</f>
        <v>Ok</v>
      </c>
    </row>
    <row r="5" spans="1:15" x14ac:dyDescent="0.45">
      <c r="A5">
        <v>2004</v>
      </c>
      <c r="B5" t="s">
        <v>26</v>
      </c>
      <c r="C5" t="s">
        <v>27</v>
      </c>
      <c r="D5" t="str">
        <f>LEFT(Table1[[#This Row],[Employee]],FIND(" ",F5))</f>
        <v xml:space="preserve">Chris </v>
      </c>
      <c r="E5" t="str">
        <f>TRIM(MID(Table1[[#This Row],[Employee]], FIND(" ", Table1[[#This Row],[Employee]]) + 1, LEN(Table1[[#This Row],[Employee]])))</f>
        <v>Wu</v>
      </c>
      <c r="F5" t="s">
        <v>28</v>
      </c>
      <c r="G5" s="1">
        <v>45325</v>
      </c>
      <c r="H5">
        <v>5</v>
      </c>
      <c r="I5">
        <v>80</v>
      </c>
      <c r="J5">
        <f>Table1[[#This Row],[Units]]*Table1[[#This Row],[UnitPrice]]</f>
        <v>400</v>
      </c>
      <c r="K5">
        <f>ROUND(Table1[[#This Row],[Revenue2]],0)</f>
        <v>400</v>
      </c>
      <c r="L5" t="str">
        <f>IF(Table1[[#This Row],[Revenue2]]&gt;=1000, "High","Low")</f>
        <v>Low</v>
      </c>
      <c r="M5" t="str">
        <f>IF(Table1[[#This Row],[Revenue2]] = "", "Missing", "Ok")</f>
        <v>Ok</v>
      </c>
    </row>
    <row r="6" spans="1:15" x14ac:dyDescent="0.45">
      <c r="A6">
        <v>2005</v>
      </c>
      <c r="B6" t="s">
        <v>23</v>
      </c>
      <c r="C6" t="s">
        <v>21</v>
      </c>
      <c r="D6" t="str">
        <f>LEFT(Table1[[#This Row],[Employee]],FIND(" ",F6))</f>
        <v xml:space="preserve">Mark </v>
      </c>
      <c r="E6" t="str">
        <f>TRIM(MID(Table1[[#This Row],[Employee]], FIND(" ", Table1[[#This Row],[Employee]]) + 1, LEN(Table1[[#This Row],[Employee]])))</f>
        <v>Kim</v>
      </c>
      <c r="F6" t="s">
        <v>25</v>
      </c>
      <c r="G6" s="1">
        <v>45326</v>
      </c>
      <c r="H6">
        <v>1</v>
      </c>
      <c r="I6">
        <v>1200</v>
      </c>
      <c r="J6">
        <f>Table1[[#This Row],[Units]]*Table1[[#This Row],[UnitPrice]]</f>
        <v>1200</v>
      </c>
      <c r="K6">
        <f>ROUND(Table1[[#This Row],[Revenue2]],0)</f>
        <v>1200</v>
      </c>
      <c r="L6" t="str">
        <f>IF(Table1[[#This Row],[Revenue2]]&gt;=1000, "High","Low")</f>
        <v>High</v>
      </c>
      <c r="M6" t="str">
        <f>IF(Table1[[#This Row],[Revenue2]] = "", "Missing", "Ok")</f>
        <v>Ok</v>
      </c>
    </row>
    <row r="7" spans="1:15" x14ac:dyDescent="0.45">
      <c r="A7">
        <v>2006</v>
      </c>
      <c r="B7" t="s">
        <v>29</v>
      </c>
      <c r="C7" t="s">
        <v>27</v>
      </c>
      <c r="D7" t="str">
        <f>LEFT(Table1[[#This Row],[Employee]],FIND(" ",F7))</f>
        <v xml:space="preserve">Lisa </v>
      </c>
      <c r="E7" t="str">
        <f>TRIM(MID(Table1[[#This Row],[Employee]], FIND(" ", Table1[[#This Row],[Employee]]) + 1, LEN(Table1[[#This Row],[Employee]])))</f>
        <v>Tran</v>
      </c>
      <c r="F7" t="s">
        <v>30</v>
      </c>
      <c r="G7" s="1">
        <v>45327</v>
      </c>
      <c r="H7">
        <v>3</v>
      </c>
      <c r="I7">
        <v>80</v>
      </c>
      <c r="J7">
        <f>Table1[[#This Row],[Units]]*Table1[[#This Row],[UnitPrice]]</f>
        <v>240</v>
      </c>
      <c r="K7">
        <f>ROUND(Table1[[#This Row],[Revenue2]],0)</f>
        <v>240</v>
      </c>
      <c r="L7" t="str">
        <f>IF(Table1[[#This Row],[Revenue2]]&gt;=1000, "High","Low")</f>
        <v>Low</v>
      </c>
      <c r="M7" t="str">
        <f>IF(Table1[[#This Row],[Revenue2]] = "", "Missing", "Ok")</f>
        <v>Ok</v>
      </c>
    </row>
    <row r="8" spans="1:15" x14ac:dyDescent="0.45">
      <c r="A8">
        <v>2007</v>
      </c>
      <c r="B8" t="s">
        <v>20</v>
      </c>
      <c r="C8" t="s">
        <v>24</v>
      </c>
      <c r="D8" t="str">
        <f>LEFT(Table1[[#This Row],[Employee]],FIND(" ",F8))</f>
        <v xml:space="preserve">Ana </v>
      </c>
      <c r="E8" t="str">
        <f>TRIM(MID(Table1[[#This Row],[Employee]], FIND(" ", Table1[[#This Row],[Employee]]) + 1, LEN(Table1[[#This Row],[Employee]])))</f>
        <v>Lopez</v>
      </c>
      <c r="F8" t="s">
        <v>22</v>
      </c>
      <c r="G8" s="1">
        <v>45327</v>
      </c>
      <c r="H8">
        <v>1</v>
      </c>
      <c r="I8">
        <v>450</v>
      </c>
      <c r="J8">
        <f>Table1[[#This Row],[Units]]*Table1[[#This Row],[UnitPrice]]</f>
        <v>450</v>
      </c>
      <c r="K8">
        <f>ROUND(Table1[[#This Row],[Revenue2]],0)</f>
        <v>450</v>
      </c>
      <c r="L8" t="str">
        <f>IF(Table1[[#This Row],[Revenue2]]&gt;=1000, "High","Low")</f>
        <v>Low</v>
      </c>
      <c r="M8" t="str">
        <f>IF(Table1[[#This Row],[Revenue2]] = "", "Missing", "Ok")</f>
        <v>Ok</v>
      </c>
    </row>
    <row r="9" spans="1:15" x14ac:dyDescent="0.45">
      <c r="A9">
        <v>2008</v>
      </c>
      <c r="B9" t="s">
        <v>26</v>
      </c>
      <c r="C9" t="s">
        <v>21</v>
      </c>
      <c r="D9" t="str">
        <f>LEFT(Table1[[#This Row],[Employee]],FIND(" ",F9))</f>
        <v xml:space="preserve">Chris </v>
      </c>
      <c r="E9" t="str">
        <f>TRIM(MID(Table1[[#This Row],[Employee]], FIND(" ", Table1[[#This Row],[Employee]]) + 1, LEN(Table1[[#This Row],[Employee]])))</f>
        <v>Wu</v>
      </c>
      <c r="F9" t="s">
        <v>28</v>
      </c>
      <c r="G9" s="1">
        <v>45328</v>
      </c>
      <c r="H9">
        <v>1</v>
      </c>
      <c r="I9">
        <v>1200</v>
      </c>
      <c r="J9">
        <f>Table1[[#This Row],[Units]]*Table1[[#This Row],[UnitPrice]]</f>
        <v>1200</v>
      </c>
      <c r="K9">
        <f>ROUND(Table1[[#This Row],[Revenue2]],0)</f>
        <v>1200</v>
      </c>
      <c r="L9" t="str">
        <f>IF(Table1[[#This Row],[Revenue2]]&gt;=1000, "High","Low")</f>
        <v>High</v>
      </c>
      <c r="M9" t="str">
        <f>IF(Table1[[#This Row],[Revenue2]] = "", "Missing", "Ok")</f>
        <v>Ok</v>
      </c>
    </row>
    <row r="10" spans="1:15" x14ac:dyDescent="0.45">
      <c r="A10">
        <v>2009</v>
      </c>
      <c r="B10" t="s">
        <v>20</v>
      </c>
      <c r="C10" t="s">
        <v>27</v>
      </c>
      <c r="D10" t="str">
        <f>LEFT(Table1[[#This Row],[Employee]],FIND(" ",F10))</f>
        <v xml:space="preserve">Ana </v>
      </c>
      <c r="E10" t="str">
        <f>TRIM(MID(Table1[[#This Row],[Employee]], FIND(" ", Table1[[#This Row],[Employee]]) + 1, LEN(Table1[[#This Row],[Employee]])))</f>
        <v>Lopez</v>
      </c>
      <c r="F10" t="s">
        <v>22</v>
      </c>
      <c r="G10" s="1">
        <v>45329</v>
      </c>
      <c r="H10">
        <v>2</v>
      </c>
      <c r="I10">
        <v>80</v>
      </c>
      <c r="J10">
        <f>Table1[[#This Row],[Units]]*Table1[[#This Row],[UnitPrice]]</f>
        <v>160</v>
      </c>
      <c r="K10">
        <f>ROUND(Table1[[#This Row],[Revenue2]],0)</f>
        <v>160</v>
      </c>
      <c r="L10" t="str">
        <f>IF(Table1[[#This Row],[Revenue2]]&gt;=1000, "High","Low")</f>
        <v>Low</v>
      </c>
      <c r="M10" t="str">
        <f>IF(Table1[[#This Row],[Revenue2]] = "", "Missing", "Ok")</f>
        <v>Ok</v>
      </c>
    </row>
    <row r="11" spans="1:15" x14ac:dyDescent="0.45">
      <c r="A11">
        <v>2010</v>
      </c>
      <c r="B11" t="s">
        <v>23</v>
      </c>
      <c r="C11" t="s">
        <v>24</v>
      </c>
      <c r="D11" t="str">
        <f>LEFT(Table1[[#This Row],[Employee]],FIND(" ",F11))</f>
        <v xml:space="preserve">Mark </v>
      </c>
      <c r="E11" t="str">
        <f>TRIM(MID(Table1[[#This Row],[Employee]], FIND(" ", Table1[[#This Row],[Employee]]) + 1, LEN(Table1[[#This Row],[Employee]])))</f>
        <v>Kim</v>
      </c>
      <c r="F11" t="s">
        <v>25</v>
      </c>
      <c r="G11" s="1">
        <v>45330</v>
      </c>
      <c r="H11">
        <v>1</v>
      </c>
      <c r="I11">
        <v>450</v>
      </c>
      <c r="J11">
        <f>Table1[[#This Row],[Units]]*Table1[[#This Row],[UnitPrice]]</f>
        <v>450</v>
      </c>
      <c r="K11">
        <f>ROUND(Table1[[#This Row],[Revenue2]],0)</f>
        <v>450</v>
      </c>
      <c r="L11" t="str">
        <f>IF(Table1[[#This Row],[Revenue2]]&gt;=1000, "High","Low")</f>
        <v>Low</v>
      </c>
      <c r="M11" t="str">
        <f>IF(Table1[[#This Row],[Revenue2]] = "", "Missing", "Ok")</f>
        <v>Ok</v>
      </c>
    </row>
    <row r="12" spans="1:15" x14ac:dyDescent="0.45">
      <c r="A12">
        <v>2011</v>
      </c>
      <c r="B12" t="s">
        <v>29</v>
      </c>
      <c r="C12" t="s">
        <v>21</v>
      </c>
      <c r="D12" t="str">
        <f>LEFT(Table1[[#This Row],[Employee]],FIND(" ",F12))</f>
        <v xml:space="preserve">Lisa </v>
      </c>
      <c r="E12" t="str">
        <f>TRIM(MID(Table1[[#This Row],[Employee]], FIND(" ", Table1[[#This Row],[Employee]]) + 1, LEN(Table1[[#This Row],[Employee]])))</f>
        <v>Tran</v>
      </c>
      <c r="F12" t="s">
        <v>30</v>
      </c>
      <c r="G12" s="1">
        <v>45331</v>
      </c>
      <c r="H12">
        <v>1</v>
      </c>
      <c r="I12">
        <v>1200</v>
      </c>
      <c r="J12">
        <f>Table1[[#This Row],[Units]]*Table1[[#This Row],[UnitPrice]]</f>
        <v>1200</v>
      </c>
      <c r="K12">
        <f>ROUND(Table1[[#This Row],[Revenue2]],0)</f>
        <v>1200</v>
      </c>
      <c r="L12" t="str">
        <f>IF(Table1[[#This Row],[Revenue2]]&gt;=1000, "High","Low")</f>
        <v>High</v>
      </c>
      <c r="M12" t="str">
        <f>IF(Table1[[#This Row],[Revenue2]] = "", "Missing", "Ok")</f>
        <v>Ok</v>
      </c>
    </row>
    <row r="13" spans="1:15" x14ac:dyDescent="0.45">
      <c r="A13">
        <v>2012</v>
      </c>
      <c r="B13" t="s">
        <v>26</v>
      </c>
      <c r="C13" t="s">
        <v>27</v>
      </c>
      <c r="D13" t="str">
        <f>LEFT(Table1[[#This Row],[Employee]],FIND(" ",F13))</f>
        <v xml:space="preserve">Chris </v>
      </c>
      <c r="E13" t="str">
        <f>TRIM(MID(Table1[[#This Row],[Employee]], FIND(" ", Table1[[#This Row],[Employee]]) + 1, LEN(Table1[[#This Row],[Employee]])))</f>
        <v>Wu</v>
      </c>
      <c r="F13" t="s">
        <v>28</v>
      </c>
      <c r="G13" s="1">
        <v>45332</v>
      </c>
      <c r="H13">
        <v>4</v>
      </c>
      <c r="I13">
        <v>80</v>
      </c>
      <c r="J13">
        <f>Table1[[#This Row],[Units]]*Table1[[#This Row],[UnitPrice]]</f>
        <v>320</v>
      </c>
      <c r="K13">
        <f>ROUND(Table1[[#This Row],[Revenue2]],0)</f>
        <v>320</v>
      </c>
      <c r="L13" t="str">
        <f>IF(Table1[[#This Row],[Revenue2]]&gt;=1000, "High","Low")</f>
        <v>Low</v>
      </c>
      <c r="M13" t="str">
        <f>IF(Table1[[#This Row],[Revenue2]] = "", "Missing", "Ok")</f>
        <v>Ok</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1D180-B272-421B-907B-5FB4EADAB114}">
  <dimension ref="A1:A13"/>
  <sheetViews>
    <sheetView tabSelected="1" workbookViewId="0">
      <selection activeCell="E15" sqref="E15"/>
    </sheetView>
  </sheetViews>
  <sheetFormatPr defaultRowHeight="14.25" x14ac:dyDescent="0.45"/>
  <sheetData>
    <row r="1" spans="1:1" x14ac:dyDescent="0.45">
      <c r="A1" t="s">
        <v>0</v>
      </c>
    </row>
    <row r="2" spans="1:1" x14ac:dyDescent="0.45">
      <c r="A2" t="s">
        <v>1</v>
      </c>
    </row>
    <row r="3" spans="1:1" x14ac:dyDescent="0.45">
      <c r="A3" t="s">
        <v>2</v>
      </c>
    </row>
    <row r="4" spans="1:1" x14ac:dyDescent="0.45">
      <c r="A4" t="s">
        <v>3</v>
      </c>
    </row>
    <row r="5" spans="1:1" x14ac:dyDescent="0.45">
      <c r="A5" t="s">
        <v>4</v>
      </c>
    </row>
    <row r="6" spans="1:1" x14ac:dyDescent="0.45">
      <c r="A6" t="s">
        <v>5</v>
      </c>
    </row>
    <row r="7" spans="1:1" x14ac:dyDescent="0.45">
      <c r="A7" t="s">
        <v>6</v>
      </c>
    </row>
    <row r="8" spans="1:1" x14ac:dyDescent="0.45">
      <c r="A8" t="s">
        <v>7</v>
      </c>
    </row>
    <row r="9" spans="1:1" x14ac:dyDescent="0.45">
      <c r="A9" t="s">
        <v>8</v>
      </c>
    </row>
    <row r="10" spans="1:1" x14ac:dyDescent="0.45">
      <c r="A10" t="s">
        <v>9</v>
      </c>
    </row>
    <row r="11" spans="1:1" x14ac:dyDescent="0.45">
      <c r="A11" t="s">
        <v>10</v>
      </c>
    </row>
    <row r="12" spans="1:1" x14ac:dyDescent="0.45">
      <c r="A12" t="s">
        <v>11</v>
      </c>
    </row>
    <row r="13" spans="1:1" x14ac:dyDescent="0.45">
      <c r="A1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Dashboards</vt:lpstr>
      <vt:lpstr>Pivot</vt:lpstr>
      <vt:lpstr>Cleaned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Santana</dc:creator>
  <cp:lastModifiedBy>Erik Santana</cp:lastModifiedBy>
  <dcterms:created xsi:type="dcterms:W3CDTF">2026-02-02T17:51:40Z</dcterms:created>
  <dcterms:modified xsi:type="dcterms:W3CDTF">2026-02-10T18:35:18Z</dcterms:modified>
</cp:coreProperties>
</file>